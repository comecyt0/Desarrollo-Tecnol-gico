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4"/>
  <workbookPr/>
  <mc:AlternateContent xmlns:mc="http://schemas.openxmlformats.org/markup-compatibility/2006">
    <mc:Choice Requires="x15">
      <x15ac:absPath xmlns:x15ac="http://schemas.microsoft.com/office/spreadsheetml/2010/11/ac" url="C:\Users\SCALL-004\Downloads\"/>
    </mc:Choice>
  </mc:AlternateContent>
  <xr:revisionPtr revIDLastSave="0" documentId="8_{27BA893F-1D59-43D1-A66C-DDD79E284EFA}" xr6:coauthVersionLast="47" xr6:coauthVersionMax="47" xr10:uidLastSave="{00000000-0000-0000-0000-000000000000}"/>
  <bookViews>
    <workbookView xWindow="0" yWindow="0" windowWidth="23040" windowHeight="8208" firstSheet="2" activeTab="2" xr2:uid="{00000000-000D-0000-FFFF-FFFF00000000}"/>
  </bookViews>
  <sheets>
    <sheet name="EMPRENDEDORES 2021-2024" sheetId="2" r:id="rId1"/>
    <sheet name="PROTOTIPOS" sheetId="3" r:id="rId2"/>
    <sheet name="VINCULACIÓN" sheetId="4" r:id="rId3"/>
    <sheet name="INCORPORACIÓN" sheetId="5" r:id="rId4"/>
    <sheet name="Concentrado Vicky 2017-2025" sheetId="6" r:id="rId5"/>
    <sheet name="Emprendedores Vicky 2021-2025" sheetId="7" r:id="rId6"/>
  </sheets>
  <definedNames>
    <definedName name="_xlnm._FilterDatabase" localSheetId="0" hidden="1">'EMPRENDEDORES 2021-2024'!$A$5:$O$5</definedName>
    <definedName name="_Hlk108520580" localSheetId="0">'EMPRENDEDORES 2021-2024'!$D$47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7" i="4" l="1"/>
  <c r="V6" i="4"/>
  <c r="V5" i="4"/>
  <c r="V4" i="4"/>
  <c r="O7" i="3"/>
  <c r="N7" i="3"/>
  <c r="P7" i="3"/>
  <c r="H187" i="2"/>
</calcChain>
</file>

<file path=xl/sharedStrings.xml><?xml version="1.0" encoding="utf-8"?>
<sst xmlns="http://schemas.openxmlformats.org/spreadsheetml/2006/main" count="4358" uniqueCount="2082">
  <si>
    <t>JÓVENES EMPRENDEDORES E INNOVADORES COMECYT</t>
  </si>
  <si>
    <t>CLAVE DEL PROYECTO</t>
  </si>
  <si>
    <t>PERSONA BENEFICIARIA</t>
  </si>
  <si>
    <t>EDAD</t>
  </si>
  <si>
    <t>NOMBRE DEL PROYECTO</t>
  </si>
  <si>
    <t>ÁREA</t>
  </si>
  <si>
    <t>MUNICIPIO</t>
  </si>
  <si>
    <t>INSTITUCIÓN DE EDUCACIÓN</t>
  </si>
  <si>
    <t>MONTO AUTORIZADO</t>
  </si>
  <si>
    <t>INDIVIDUAL O EN EQUIPO</t>
  </si>
  <si>
    <t>TELÉFONO</t>
  </si>
  <si>
    <t>CORREO ELECTRÓNICO</t>
  </si>
  <si>
    <t>ESTATUS</t>
  </si>
  <si>
    <t>DESCRIPCIÓN DE LOS PROYECTOS</t>
  </si>
  <si>
    <t>AÑO DE INICIO</t>
  </si>
  <si>
    <t>AÑO DE CIERRE</t>
  </si>
  <si>
    <t>CONVOCATORIA 2021</t>
  </si>
  <si>
    <t>Emprendedores/2021/02</t>
  </si>
  <si>
    <t>Ulises Esquivel Campuzano</t>
  </si>
  <si>
    <t>BUMEX Tecnologías anti UPP</t>
  </si>
  <si>
    <t>Salud</t>
  </si>
  <si>
    <t>Toluca</t>
  </si>
  <si>
    <t>UAEM</t>
  </si>
  <si>
    <t>Equipo</t>
  </si>
  <si>
    <t>ulisesesquivelcampuzano1@outlook.com</t>
  </si>
  <si>
    <t>Cerrado</t>
  </si>
  <si>
    <t>Elaboración de pijamas, ropa de innovación tecnológica anti-úlceras por presión, que ayude a prevenir y mejorar la calidad de vida y recuperación de los adultos mayores, discapacitados y personas con alteraciones en la movilidad y sensibilidad</t>
  </si>
  <si>
    <t>Emprendedores/2021/05</t>
  </si>
  <si>
    <t>Alejandra García Medina</t>
  </si>
  <si>
    <t>Innovación tecnológica del centro genético porcino "La Concepción"</t>
  </si>
  <si>
    <t xml:space="preserve">Agroindustria </t>
  </si>
  <si>
    <t>Jiquipilco</t>
  </si>
  <si>
    <t>Centro Universitario UAEM Temascaltepec</t>
  </si>
  <si>
    <t>alegamedu@gmail.com</t>
  </si>
  <si>
    <t xml:space="preserve">La Concepción es un centro genético el encargado de recolectar, procesar y distribuir de manera directa e indirecta material genético de alta calidad a los productores dedicados a la producción porcícola </t>
  </si>
  <si>
    <t>Emprendedores/2021/11</t>
  </si>
  <si>
    <t>Bryan Omar Lecona Zarate</t>
  </si>
  <si>
    <t>Diseño e implementación de un reactor doble tipo BATCH con membrana para la sacarificación y fermentación (RDBM) simultánea para la producción de bioetanol de rastrojo de amaranto</t>
  </si>
  <si>
    <t>Ingeniería Bioquímica</t>
  </si>
  <si>
    <t>Ecatepec</t>
  </si>
  <si>
    <t>Tecnológico de Estudios Superiores de Ecatepec</t>
  </si>
  <si>
    <t xml:space="preserve">Individual  </t>
  </si>
  <si>
    <t>leconabryan1103@gmail.com</t>
  </si>
  <si>
    <t>Diseño de un reactor para aprovechar de manera integral a la planta de amaranto para la producción de bioetanol</t>
  </si>
  <si>
    <t>Emprendedores/2021/14</t>
  </si>
  <si>
    <t>Edwin Martínez Palacios</t>
  </si>
  <si>
    <t>Robot autónomo germicida con UVC, sistema olfativo inteligente y comunicación táctica en tiempo real</t>
  </si>
  <si>
    <t>Mecatrónica</t>
  </si>
  <si>
    <t>Nezahualcóyotl</t>
  </si>
  <si>
    <t>201810264@tese.edu.mx</t>
  </si>
  <si>
    <t>Robot inteligente, autónomo y telecontrolado que utiliza un sistema embebido olfativo con Inteligencia Artificial para la sanitización de áreas COVID-19, tendrá una arquitectura estructural móvil de fácil ensamblado con soporte estructural para el módulo de eficiencia energética</t>
  </si>
  <si>
    <t>Emprendedores/2021/18</t>
  </si>
  <si>
    <t>Ana Sofía Méndez Hernández</t>
  </si>
  <si>
    <t>Cricani: croquetas para perro con proteína de insectos</t>
  </si>
  <si>
    <t>Agroindustria</t>
  </si>
  <si>
    <t>Metepec</t>
  </si>
  <si>
    <t>Instituto Tecnológico de Monterrey</t>
  </si>
  <si>
    <t>anamdz98@hotmail.com</t>
  </si>
  <si>
    <t>Línea de alimentos para perros que ayudará a disminuir la huella ecológica que produce el alimento de nuestras mascotas. Tendrá una rica fuente de proteína proveniente harina de insecto, dejando a un lado el uso de subproductos animales y técnicas poco amigables con el medio ambiente, para la elaboración del alimento</t>
  </si>
  <si>
    <t>Emprendedores/2021/23</t>
  </si>
  <si>
    <t>Kathia Álvarez Benítez</t>
  </si>
  <si>
    <t xml:space="preserve">Microponia tokenizable 4.0 </t>
  </si>
  <si>
    <t>Biotecnología</t>
  </si>
  <si>
    <t>kathia.alvarez.benitez@gmail.com</t>
  </si>
  <si>
    <t xml:space="preserve">Forma inteligente de cultivar alimentos sin suelo, reutilizar agua y producir oxígeno a partir del dióxido de carbono del ambiente  </t>
  </si>
  <si>
    <t>Emprendedores/2021/25</t>
  </si>
  <si>
    <t>Brian Israel Sánchez Mondragón</t>
  </si>
  <si>
    <t xml:space="preserve">Nueva empresa que ofrezca una innovadora máquina para esferificar bebidas naturales a efecto de beneficiar los giros de la heladería y paletería. </t>
  </si>
  <si>
    <t>Alimentos</t>
  </si>
  <si>
    <t>Ocoyoacac</t>
  </si>
  <si>
    <t>Universidad Tecnológica del Valle de Toluca</t>
  </si>
  <si>
    <t>askis.isra1997@gmail.com</t>
  </si>
  <si>
    <t>Diseño y fabricación de una máquina de mostrador para esferificación de bebidas, esto, a efecto de ofrecer a las Mipymes del giro de heladerías y paleterías un “topping” consistente en “perlas moleculares”</t>
  </si>
  <si>
    <t>Emprendedores/2021/27</t>
  </si>
  <si>
    <t>Irving Anselmo Bretón García</t>
  </si>
  <si>
    <t>Criadero de tilapia y producción de fresa</t>
  </si>
  <si>
    <t>Timilpan</t>
  </si>
  <si>
    <t>Tecnológico de Estudios Superiores de San Felipe del Progreso</t>
  </si>
  <si>
    <t>irvingbretongarcia@gmail.com</t>
  </si>
  <si>
    <t>Implementar un sistema de producción con condiciones aptas para el óptimo desarrollo de la especie de mojarra tilapia y producción de fresa</t>
  </si>
  <si>
    <t>Emprendedores/2021/31</t>
  </si>
  <si>
    <t xml:space="preserve">Mariana Itzel Victoriano Salazar </t>
  </si>
  <si>
    <t xml:space="preserve">Modernización y equipamiento del rincón de los hongos, para mejorar la producción, comercialización y competitividad dentro del mercado </t>
  </si>
  <si>
    <t>Ixtlahuaca</t>
  </si>
  <si>
    <t xml:space="preserve">Universidad Mexiquense del Bicentenario Unidad de Estudios Superiores Ixtlahuaca </t>
  </si>
  <si>
    <t>mariid100713@gmail.com</t>
  </si>
  <si>
    <t xml:space="preserve">consolidación y ampliación de la producción y comercialización esta pequeña empresa denominada el rincón de los hongos, partiendo de la rehabilitación, equipamiento de invernaderos y semiatomatización del sistema de riego para el cultivo de diferentes especies de hongos 
</t>
  </si>
  <si>
    <t>Emprendedores/2021/34</t>
  </si>
  <si>
    <t xml:space="preserve">Ariadna Paola Castañeda Barenca </t>
  </si>
  <si>
    <t>Dispositivo mecánico auxiliar para la separación de paredes de cuerpos vertebrales fracturados en la aplicación de la técnica de cifoplastía</t>
  </si>
  <si>
    <t>Tultitlan</t>
  </si>
  <si>
    <t xml:space="preserve">Universidad Politécnica de Cuautitlán Izcalli </t>
  </si>
  <si>
    <t>55 1128 2068</t>
  </si>
  <si>
    <t>madebionic@gmail.com</t>
  </si>
  <si>
    <t>Diseñar, desarrollar e integrar dispositivos médicos, implantes y prótesis con manufactura aditiva, personalizados las necesidades de cada paciente en el área de ortopedia y traumatología</t>
  </si>
  <si>
    <t>Emprendedores/2021/35</t>
  </si>
  <si>
    <t>Daniel Luna López</t>
  </si>
  <si>
    <t xml:space="preserve">Organ-on-a-chip basado en un sistema de microfluidez para el descubrimiento y desarrollo de nuevos fármacos </t>
  </si>
  <si>
    <t>danielluna6a@hotmail.com</t>
  </si>
  <si>
    <t>Diseñar, fabricar y probar un dispositivo con la capacidad de cultivar y mantener diferentes tipos de células en un microambiente controlado a través de la incorporación de canales de microfluidez, con la finalidad última de imitar el funcionamiento fisiológico de órganos y tejidos humanos para su comercialización en el formato de Organ-on-a-chip</t>
  </si>
  <si>
    <t>Emprendedores/2021/38</t>
  </si>
  <si>
    <t>Samantha Victoria Torija Cruz</t>
  </si>
  <si>
    <t>Muro divisorio modular con material reciclado para espacios comerciales</t>
  </si>
  <si>
    <t>Arquitectura</t>
  </si>
  <si>
    <t>Facultad de Estudios Superiores Plantel Aragón</t>
  </si>
  <si>
    <t>syc160599@gmail.com</t>
  </si>
  <si>
    <t>Elaboración de muro divisorio para espacios comerciales con un diseño estético que se adapta a las necesidades específicas de cada cliente en cuanto al espacio de instalación, está conformado bajo el principio de sustentabilidad al implementar el uso de materiales reciclados</t>
  </si>
  <si>
    <t>Emprendedores/2021/40</t>
  </si>
  <si>
    <t>Gabriel Saúl Báez Nieves</t>
  </si>
  <si>
    <t>Fabricación de una válvula economizadora de agua potable termorregulada.</t>
  </si>
  <si>
    <t>Ingeniería Mecánica/Ambiental</t>
  </si>
  <si>
    <t>Chalco</t>
  </si>
  <si>
    <t xml:space="preserve">baez220916@gmail.com </t>
  </si>
  <si>
    <t>Fabricación de una válvula economizadora de agua termorregulada, la cual se basa en el comportamiento de las aleaciones con memoria de forma, que permita generar un diseño simple pero eficaz y a la vez, económicamente viable de un dispositivo capaz de reducir este desperdicio de agua existente en las regaderas casi en su totalidad</t>
  </si>
  <si>
    <t>Emprendedores/2021/48</t>
  </si>
  <si>
    <t>Miguel Ángel Domínguez González</t>
  </si>
  <si>
    <t xml:space="preserve">Producción de biofertilizantes orgánicos con una alta concentración de microorganismos benéficos para prevenir plagas y nutrir todo tipo de plantas; elaborados con residuos y basuras orgánicas. </t>
  </si>
  <si>
    <t>Temoaya</t>
  </si>
  <si>
    <t xml:space="preserve">Universidad Autónoma Metropolitana, Plantel Lerma </t>
  </si>
  <si>
    <t xml:space="preserve">7293050219
</t>
  </si>
  <si>
    <t xml:space="preserve">migueldogo1996@gmail.com
</t>
  </si>
  <si>
    <t>Elaboración de un abono organico a traves de la trasformación de  los de residuos orgánicos en productos que le regresen la fertilidad a las tierras que cultivamos actualmente y así producir alimentos sanos</t>
  </si>
  <si>
    <t>Emprendedores/2021/51</t>
  </si>
  <si>
    <t>José Luis Palomares Sosa</t>
  </si>
  <si>
    <t xml:space="preserve">Sown Technology: diseño e innovación en implementos agrícolas para impulsar la productividad y el desarrollo en pequeñas empresas del sector agrario del estado de México </t>
  </si>
  <si>
    <t>Ixtapaluca</t>
  </si>
  <si>
    <t>Tecnológico de Estudios Superiores de Ixtapaluca</t>
  </si>
  <si>
    <t xml:space="preserve">kelly_belmont@hotmail.com
</t>
  </si>
  <si>
    <t>innovar y desarrollar implementos agrícolas para maquinaria ligera (cuatrimotos, motocultores y mototractores con al menos 11 hp) que respondan a las condiciones de cada región</t>
  </si>
  <si>
    <t>Emprendedores/2021/62</t>
  </si>
  <si>
    <t>Luis Fernando Palomo Jiménez</t>
  </si>
  <si>
    <t xml:space="preserve">Rack inteligente mediante la identificación de ítems con tecnología RFID y almacenamiento de eventos en una tarjeta micro SD </t>
  </si>
  <si>
    <t xml:space="preserve">Tecnológico de Estudios Superiores de Coacalco </t>
  </si>
  <si>
    <t>55 7350 8067</t>
  </si>
  <si>
    <t>luis_palomo.mtc@tesco.edu.mx
lfpj15@outlook.es</t>
  </si>
  <si>
    <t>Terminación anticipada</t>
  </si>
  <si>
    <t xml:space="preserve">crear un sistema seguro para la gestión, administración y resguardo de inventario haciendo uso de tecnología rfid (identificación por radiofrecuencia), con la cual en combinación con un microcontrolador, tiene como funcionamiento principal resguardar, y verificar cuando una persona autorizada sustraiga un elemento del inventario designado </t>
  </si>
  <si>
    <t>Emprendedores/2021/64</t>
  </si>
  <si>
    <t>Kevin Alexis Aguilar Bailón</t>
  </si>
  <si>
    <t>Sistema de estimulación bioeléctrica</t>
  </si>
  <si>
    <t>Centro Universitario UAEM Texcoco</t>
  </si>
  <si>
    <t>kaguilarb002@alumno.uaemex.mx</t>
  </si>
  <si>
    <t>Crear un sistema de estimulación bioeléctrica, que sirva como tratamiento alternativo para el Glaucoma de ángulo abierto primario (GAAP) capaz de bajar la presión intraocular, la principal consecuencia de tener GAAP diagnosticado, es el daño en el nervio óptico que con lleva a perder parte de la vista o en el peor de los casos ceguera irreversible</t>
  </si>
  <si>
    <t>Emprendedores/2021/72</t>
  </si>
  <si>
    <t>Yessica Liliana Espinosa López</t>
  </si>
  <si>
    <t>Mezcladora especializada en residuos orgánicos</t>
  </si>
  <si>
    <t>Ingeniería Mecánica</t>
  </si>
  <si>
    <t>Tepotzotlán</t>
  </si>
  <si>
    <t>Universidad Tecnológica Fidel Velázquez</t>
  </si>
  <si>
    <t>20303064@utfv.edu.mx</t>
  </si>
  <si>
    <t>Crear una máquina que permita elaborar abono organico (composta) en un menor tiempoy con un ahorro en el costo</t>
  </si>
  <si>
    <t>Emprendedores/2021/73</t>
  </si>
  <si>
    <t>José Cristian Archundia Velarde</t>
  </si>
  <si>
    <t xml:space="preserve">Tortillas funcionales elaboradas con maíz nativo con capacidad antioxidante </t>
  </si>
  <si>
    <t>Universidad Politécnica de Valle de Toluca</t>
  </si>
  <si>
    <t>tortillasfuncionales21@gmail.com</t>
  </si>
  <si>
    <t>Producir tortillas de colores (azules, rojas, moradas y verdes) con alto contenido de antocianinas y características antioxidantes. Desarrollar tortillas de sabores (cilantro, espinaca, ajo, zanahoria, chile manzano, nopal, triticale, avena, piña, guayaba, fresa)
Realizar una caracterización fisicoquímica, para resaltar la composición nutricional de las tortillas</t>
  </si>
  <si>
    <t>Emprendedores/2021/78</t>
  </si>
  <si>
    <t xml:space="preserve">Zihanya Itzel Roa Lopez </t>
  </si>
  <si>
    <t>Zirloliaark Tiny Corporation</t>
  </si>
  <si>
    <t>Coacalco</t>
  </si>
  <si>
    <t>55 41088149</t>
  </si>
  <si>
    <t>zihanya_sic@tesco.edu.mx</t>
  </si>
  <si>
    <t>Generar tres prototipos (Visor para Intervención Quirúrgica, Escáner Visual y Gel de Recuperación) que faciliten las intervenciones quirúrgicas para la vista y que conlleven a una mayor eficacia, reducción de costos y mayor acceso a la población</t>
  </si>
  <si>
    <t>CONVOCATORIA 2022</t>
  </si>
  <si>
    <t>Emprendedores/2022/01</t>
  </si>
  <si>
    <t>Maricruz Pérez Chávez</t>
  </si>
  <si>
    <t xml:space="preserve">Innovador dispositivo de descarga altamente eficaz para cicatrización de úlceras del pie diabético, así como también, su innovador proceso de fabricación </t>
  </si>
  <si>
    <t>Nicolás Romero</t>
  </si>
  <si>
    <t>maricruz17pch@gmail.com</t>
  </si>
  <si>
    <t>Dispositivo de descarga para promover la cicatrización de las úlceras del pie diabético localizadas en cualquier lugar del pie o de la pierna por debajo de la rodilla.</t>
  </si>
  <si>
    <t>Emprendedores/2022/05</t>
  </si>
  <si>
    <t>Francisco Yael Guadarrama Gómez</t>
  </si>
  <si>
    <t>Fermentados de México</t>
  </si>
  <si>
    <t>Tenancingo</t>
  </si>
  <si>
    <t>Escuela Normal del Estado de México</t>
  </si>
  <si>
    <t>yael78578@gmail.com</t>
  </si>
  <si>
    <t>Bebidas artesanales creadas a partir de insumos naturales, que contienen almidones o azucares que por medio de una cocción son extraídos, para posteriormente generar alcohol natural a partir de una fermentación controlada</t>
  </si>
  <si>
    <t>Emprendedores/2022/16</t>
  </si>
  <si>
    <t>Ana Citlali Vargas Gómez</t>
  </si>
  <si>
    <t>El Axolo-tlali</t>
  </si>
  <si>
    <t>Ambiental y Agroindustria</t>
  </si>
  <si>
    <t>Facultad de Estudios Superiores Iztacala</t>
  </si>
  <si>
    <t>anacit.gomez@gmail.com</t>
  </si>
  <si>
    <t>Centro de Conservación e investigación que busca  rescatar al ajolote de la extinción</t>
  </si>
  <si>
    <t>Emprendedores/2022/18</t>
  </si>
  <si>
    <t>José Yaziel Herrera Rayón</t>
  </si>
  <si>
    <t>Proceso de obtención de apósitos con propiedades antimicrobianas</t>
  </si>
  <si>
    <t>Química/Salud</t>
  </si>
  <si>
    <t>Cuautitlán Izclli</t>
  </si>
  <si>
    <t>20313010@utfv.edu.mx</t>
  </si>
  <si>
    <t>Cancelación del proyecto</t>
  </si>
  <si>
    <t>Obtención de materiales con nanoparticulas de plata que contribuyan a la cicatrización y estabilización de heridas crónicas, por ejemplo en personas diabeticas</t>
  </si>
  <si>
    <t>Emprendedores/2022/21</t>
  </si>
  <si>
    <t>Yesenia Hernández Ramírez</t>
  </si>
  <si>
    <t>Software geoespacial, captador de agentes contaminantes, mediante rastreo satelital</t>
  </si>
  <si>
    <t>Tic's</t>
  </si>
  <si>
    <t>Tecamac</t>
  </si>
  <si>
    <t>yeseniahernandezramirez@gmail.com</t>
  </si>
  <si>
    <t>Es un servicio que está basado en la programación (software) manejando cualquier lenguaje de programación con la finalidad de localizar agentes contaminantes de manera inmediata y que pueda captar las partículas en tiempo real</t>
  </si>
  <si>
    <t>Emprendedores/2022/22</t>
  </si>
  <si>
    <t>Gustavo Alberto Núñez Álvarez</t>
  </si>
  <si>
    <t>BioHex-Lab</t>
  </si>
  <si>
    <t>Bioquímica/Ingeniería</t>
  </si>
  <si>
    <t xml:space="preserve">gustavoalberto25821@outlook.es </t>
  </si>
  <si>
    <t>Es un servicio de diseño, implementación y/o adaptación de sistemas de instrumentación y control capaces de medir las más importantes variables de operación en biorreactores, plantas de destilación para biocombustibles, laboratorios químicos y bioquímicos, plantas de tratamientos de aguas residuales, e instalaciones parecidas a estas. El dispositivo está diseñado para tomar mediciones ininterrumpidas de pH, oxígeno disuelto, potencial oxido-reductor, temperatura, etc.</t>
  </si>
  <si>
    <t>Emprendedores/2022/26</t>
  </si>
  <si>
    <t>Marco Antonio Silva Martínez</t>
  </si>
  <si>
    <t>Unidad móvil de verificación por rastreo satelital de control volumétrico para estaciones de suministro de hidrocarburos</t>
  </si>
  <si>
    <t>Automotriz/Energía</t>
  </si>
  <si>
    <t>201310673@tese.edu.mx</t>
  </si>
  <si>
    <t>Unidad móvil (automotriz) de verificación y monitoreo para centros de distribución de hidrocarburos, para asegurar que los proveedores de hidrocarburos cumplan con el llenado de tanques de vehículos de combustión</t>
  </si>
  <si>
    <t>Emprendedores/2022/27</t>
  </si>
  <si>
    <t>Issac López Arana</t>
  </si>
  <si>
    <t>Desarrollo de un sistema de inmersión temporal para la micropropagación de Pinguiculas mexicanas</t>
  </si>
  <si>
    <t>Amatepec</t>
  </si>
  <si>
    <t>issac_loar@hotmail.com</t>
  </si>
  <si>
    <t>Optimización de un laboratorio de micropropagación de plantas a través del desarrollo de un sistema de inmersión temporal, es decir se trata de un biorreactor utilizado para la optimización y semiautomatización del cultivo en laboratorio de plantas</t>
  </si>
  <si>
    <t>Emprendedores/2022/28</t>
  </si>
  <si>
    <t>José Alejandro Casas Pérez</t>
  </si>
  <si>
    <t>Centro Mexiquense de Desarrollo de Fermentación e Investigación de Café</t>
  </si>
  <si>
    <t>casasalejandro443@gmail.com</t>
  </si>
  <si>
    <t>Crear un Centro Mexiquense de Desarrollo de Fermentación e Investigación de Café para maquilar a productores del sector, generando un valor agregado del café que se produce en el Estado de México</t>
  </si>
  <si>
    <t>Emprendedores/2022/29</t>
  </si>
  <si>
    <t>Luis Enrique Pacheco Carlos</t>
  </si>
  <si>
    <t>Plaguicida natural</t>
  </si>
  <si>
    <t>Universidad Mexiquense del Bicentenario, Unidad Jiquipilco</t>
  </si>
  <si>
    <t>pachecocarlosluisenrique@gmail.com</t>
  </si>
  <si>
    <t>Plaguicida natural elaborado a base de ruda, ortiga y ajo, en presentación polvo y líquido para uso agrícola para prevenir, repeler y eliminar plagas como pulgones, hormigas rojas, palomilla, mosca blanca, y orugas presentes en los cultivos de hortalizas y flores.</t>
  </si>
  <si>
    <t>Emprendedores/2022/31</t>
  </si>
  <si>
    <t>Daniel González Celaya</t>
  </si>
  <si>
    <t>Sistema para fototerapia neonatal portátil y accesible</t>
  </si>
  <si>
    <t>Bioingeniería/Salud</t>
  </si>
  <si>
    <t>da.ni.21.95@gmail.com</t>
  </si>
  <si>
    <t>En proceso de evaluación</t>
  </si>
  <si>
    <t xml:space="preserve">Dispositivo médico para uso en neonatos con hiperbilirrubinemia, padecimiento que se presenta en alrededor del 30% de los nacimientos sanos.
Consiste en un sistema para tratar esta condición mediante fototerapia con luz LED azul y verde. Equipo portátil, económico, de bajo consumo de energía, ligero y de fácil reparación. </t>
  </si>
  <si>
    <t>Emprendedores/2022/35</t>
  </si>
  <si>
    <t>María Guadalupe Pale Soto</t>
  </si>
  <si>
    <t>Sistema de predicción de la respuesta al tratamiento estándar en cáncer cervicouterino localmente avanzado</t>
  </si>
  <si>
    <t>Universidad Politécnica del Valle de México</t>
  </si>
  <si>
    <t>5523328222
5558754416</t>
  </si>
  <si>
    <t>guadalupe.pale.soto@upvm.edu.mx
guadalupe.paleupvm@gmail.com</t>
  </si>
  <si>
    <t>Sistema de diagnóstico personalizado, que permite tener un pronóstico temprano de sensibilidad o resistencia al tratamiento estándar de pacientes con cáncer cervicouterino localmente avanzado, mismo que ayudará a los oncólogos para saber si el tratamiento para las pacientes con este padecimiento será efectivo o no y con ello seleccionaran el tratamiento más adecuado para cada paciente</t>
  </si>
  <si>
    <t>Emprendedores/2022/40</t>
  </si>
  <si>
    <t>Arlette Almanza Méndez</t>
  </si>
  <si>
    <t>Diseño y fabricación de prótesis de miembro inferior</t>
  </si>
  <si>
    <t>Ingeniería mecánica</t>
  </si>
  <si>
    <t>Tultitlán</t>
  </si>
  <si>
    <t>arlette.almanza.mendez@upvm.edu.mx</t>
  </si>
  <si>
    <t>Diseñar y manufacturar una prótesis de miembro inferior, proponiendo un mecanismo de rodilla y de pie-tobillo, capaz de reproducir los movimientos de flexión y extensión durante la marcha protésica en personas con amputación por arriba y debajo de la rodilla (transfemoral y transtibial).</t>
  </si>
  <si>
    <t>Emprendedores/2022/41</t>
  </si>
  <si>
    <t>Angeles Amneris Cid Del Prado Patlán</t>
  </si>
  <si>
    <t>Elaboración de vinos de fruta</t>
  </si>
  <si>
    <t>55 2481 4034
55 7330 4406</t>
  </si>
  <si>
    <t>ciddelpradoamneris@gmail.com
cidejua@hotmail.com</t>
  </si>
  <si>
    <t>Elaborar Vino de frutas artesanal adicionando métodos de proteólisis innovadores que permita obtener un mosto fermentable derivado de los azucares de las frutas con el valor agregado que estos incorporan en el cuerpo, aroma y los sabores propios de las frutas.</t>
  </si>
  <si>
    <t>Emprendedores/2022/44</t>
  </si>
  <si>
    <t xml:space="preserve">Blanca Jasmin García Boreta </t>
  </si>
  <si>
    <t>Equipo autónomo reconfigurable para la realización de terapias de rehabilitación en palma muñeca y dedos de la mano para personas adultas de entre 18 a 75 años</t>
  </si>
  <si>
    <t>Mecatrónica/Salud</t>
  </si>
  <si>
    <t>Tecnológico de Estudios Superiores de Coacalco</t>
  </si>
  <si>
    <t>blanca_jasmin_garcia.mct@tesco.edu.mx</t>
  </si>
  <si>
    <t>Máquina rehabilitadora de muñecas, dedos y manos, que trabaja de forma automática en la ejecución de rutinas (ejercicios), terapias de calor y con electroestimulación; que permitan una rehabilitación personalizada, cómoda y continua.</t>
  </si>
  <si>
    <t>Emprendedores/2022/45</t>
  </si>
  <si>
    <t>Javier Estrada Ramírez</t>
  </si>
  <si>
    <t>Bioimpresión 3D de piel a partir de una biotinta con propiedades mejoradas</t>
  </si>
  <si>
    <t>Otzolotepec</t>
  </si>
  <si>
    <t>jaer.biotech@gmail.com</t>
  </si>
  <si>
    <t>Desarrollar una biotinta (hidrogel) con características mejoradas para la bioimpresión 3D de tejidos biológicos, en este caso específico para la bioimpresión 3D de piel, que sirva como modelo sustituto de animales en pruebas de fármacos o cosméticos, también se espera poder usar éste equivalente de piel para poder aplicar terapias regenerativas como trasplantes de piel o bioparches en mascotas como felinos y caninos con heridas cutáneas.</t>
  </si>
  <si>
    <t>Emprendedores/2022/47</t>
  </si>
  <si>
    <t>Marisol Hernández García</t>
  </si>
  <si>
    <t>Generación de energía sustentable a partir de estiércol de cerdos en la región mazahua</t>
  </si>
  <si>
    <t>Desarrollo sustentable</t>
  </si>
  <si>
    <t>marisolhernandezgarcia28@gmail.com</t>
  </si>
  <si>
    <t xml:space="preserve">La construcción de un criadero de cerdos que se desarrollará conjuntamente con la construcción de dos biodigestores para la obtención de biogás a partir de las excretas de los cerdos, el biogás se aprovechará en la calefacción de los lechones, cocción de los alimentos del personal que labore dentro de la granja, etc. </t>
  </si>
  <si>
    <t>Emprendedores/2022/48</t>
  </si>
  <si>
    <t>Alicia Yazbeth Ríos Rodríguez</t>
  </si>
  <si>
    <t>Cervezas artesanales con sabores y aromas Mazahuas</t>
  </si>
  <si>
    <t>San Felipe del Progreso</t>
  </si>
  <si>
    <t>aliriro09@gmail.com</t>
  </si>
  <si>
    <t>Producir cervezas artesanales usando ajduntos cerveceros como el chilacayote y la tuna que funcionaran como sustituto parcial de cerales, además los residuos del mosto se utilizarán para la producción de hongos comestibles.</t>
  </si>
  <si>
    <t>Emprendedores/2022/51</t>
  </si>
  <si>
    <t>Jessica Flor de María Cedillo García</t>
  </si>
  <si>
    <t>Axolcatzin - Crianza de insectos y anélidos para la producción de alimento liofilizado, como una alternativa accesible y sostenible dentro de México</t>
  </si>
  <si>
    <t>Biología/Agroindustria</t>
  </si>
  <si>
    <t>jgarcia.biocienciasc@gmail.com</t>
  </si>
  <si>
    <t>Crear una granja de insectos especializada en la producción de alimentos liofilizados para animales exóticos, de granja, en cautiverio o vida libre que requieran de este tipo de nutrientes en su dieta(erizos, tarántulas, iguanas, tortugas, etc). Al mismo tiempo se busca preservar y críar 3 especies de ajolotes en peligro de extinción endémicas de nuestro país.</t>
  </si>
  <si>
    <t>Emprendedores/2022/52</t>
  </si>
  <si>
    <t xml:space="preserve">Alejandro Reza Hernández </t>
  </si>
  <si>
    <t>Aprovechamiento y generación de productos de valor a partir de residuos y subproductos de la agroindustria agavera, mezcalera y pulquera en el Estado de México</t>
  </si>
  <si>
    <t>Coatepec Harinas</t>
  </si>
  <si>
    <t>rhalex@hotmail.com</t>
  </si>
  <si>
    <t xml:space="preserve">A partir de los subproductos y residuos de la agroindustria agavera, mezcalera y pulquera en el Estado de México y a través de varias metodologías y procesos se busca generar productos de valor como lo son ensilaje para rumiantes, fibra pelletizada, biofertilizantes e inulina de agave. </t>
  </si>
  <si>
    <t>Emprendedores/2022/53</t>
  </si>
  <si>
    <t>Agustín Plancarte Mundo</t>
  </si>
  <si>
    <t>Sistema sustentable de recolección de aguas pluviales en zonas suburbanas</t>
  </si>
  <si>
    <t>Ambiental/Mecatrónica</t>
  </si>
  <si>
    <t>Tejupilco</t>
  </si>
  <si>
    <t>Universidad Tecnológica del Sur del Estado de México</t>
  </si>
  <si>
    <t>agustinplank042@gmail.com</t>
  </si>
  <si>
    <t>Desarrollar un sistema capaz de captar, filtrar, almacenar, y suministrar agua pluvial para consumo doméstico y/o agrícola</t>
  </si>
  <si>
    <t>Emprendedores/2022/55</t>
  </si>
  <si>
    <t>Diego Armando Serrano Piedra</t>
  </si>
  <si>
    <t>Visualizador web de big data y geomarketing para empresas</t>
  </si>
  <si>
    <t>Zinacantepec</t>
  </si>
  <si>
    <t>diego94.serrano@gmail.com</t>
  </si>
  <si>
    <t>Desarrollar una herramienta de visualización de datos espaciales y no espaciales de un sitio determinado,  que permite representar, ordenar y analizar datos de forma gráfica, ordenada y actualizada por medio de un software con conexión a internet</t>
  </si>
  <si>
    <t>Emprendedores/2022/60</t>
  </si>
  <si>
    <t>Luis Fernando Ledesma Aguilar</t>
  </si>
  <si>
    <t>SICIe “sistema inteligente capaz de identificar emociones para ayudar a niños con asperger”</t>
  </si>
  <si>
    <t>Melchor Ocampo</t>
  </si>
  <si>
    <t>socialrobotics1@gmail.com</t>
  </si>
  <si>
    <t>Diseñar, programar y desarrolar un robot animatrónico impreso con manufactura aditiva en 3D que a través de una IA (Inteligencia Artificial)que sea capaz de ser entrenado para identificar expresiones faciales que puede tener una persona con Asperger y replicarlas a su entorno social, lo que le ayudará a entender los cambios de ánimo que presentan</t>
  </si>
  <si>
    <t>Emprendedores/2022/61</t>
  </si>
  <si>
    <t>María Montserrat Martínez Rodríguez</t>
  </si>
  <si>
    <t>Diseño de prótesis prototipo para una amputación transradial del miembro superior izquierdo</t>
  </si>
  <si>
    <t>Salud-Mecatrónica</t>
  </si>
  <si>
    <t>voyage.prosthetics@gmail.com</t>
  </si>
  <si>
    <t>Diseñar, desarrollar e integrar prótesis biónicas con accionamiento mioeléctrico utilizando manufactura aditiva, Este producto será fabricado mediante la aplicación de tecnologías innovadoras como lo es la impresión 3D de alta calidad, lo que lo vuelve un proceso más económico y con mayor capacidad de hacerlo personalizado.</t>
  </si>
  <si>
    <t>Emprendedores/2022/63</t>
  </si>
  <si>
    <t>Oscar Jared González Peña</t>
  </si>
  <si>
    <t>Implantes dentales biocompatibles a través de impresión 3d con tecnología de estereolitografía</t>
  </si>
  <si>
    <t>bionicdental3d@gmail.com</t>
  </si>
  <si>
    <t>Desarrollar y manufacturar aditivamente implantes odontológicos con PEEK y resinas biocompatibles de clase II de larga duración, con una estructura porosa,  a través de la impresión 3D con el fin de aportar resultados objetivos y personalizados sin la necesidad de costosos moldes y utillajes de fabricación</t>
  </si>
  <si>
    <t>Emprendedores/2022/74</t>
  </si>
  <si>
    <t>Miguel Ángel Anzaldo Cortez</t>
  </si>
  <si>
    <t>Drone de múltiple aplicación (modular) industrial para uso en interiores y exteriores</t>
  </si>
  <si>
    <t>Aeronáutica</t>
  </si>
  <si>
    <t>UNIVERSIDAD TECNÓLOGICA DE MÉXICO (UNITEC) CAMPUS ECATEPEC</t>
  </si>
  <si>
    <t>maac_anzaldo@outlook.com</t>
  </si>
  <si>
    <t>Diseñar y desarrollar un drone modular (con cargas útiles diferentes) para uso en interiores (espacios confinados) y  exteriores (espacios abiertos)</t>
  </si>
  <si>
    <t>Emprendedores/2022/77</t>
  </si>
  <si>
    <t>César Martínez Rodríguez</t>
  </si>
  <si>
    <t xml:space="preserve">Preservación de energía calorífica mediante la implementación de un medio granular en tubos solares </t>
  </si>
  <si>
    <t>chechard3@gmail.com</t>
  </si>
  <si>
    <t>Desarrollo de una planta piloto para calentamiento de agua mediante un sistema fototérmico, el cual en su interior contenga un medio granular que ayude a preservar la energía térmica en condiciones ambientales adversas.</t>
  </si>
  <si>
    <t>Emprendedores/2022/79</t>
  </si>
  <si>
    <t>Luis Uriel Vera Cordero</t>
  </si>
  <si>
    <t>Dispositivo para el control de entrada de radiación solar (persiana inteligente) para habitáculos, que permiten disminuir el consumo de energía eléctrica generado por los sistemas de aire acondicionado</t>
  </si>
  <si>
    <t>Ambiental</t>
  </si>
  <si>
    <t>Facultad de Estudios Superiores Aragón, UNAM</t>
  </si>
  <si>
    <t>luisvera98@aragon.unam.mx</t>
  </si>
  <si>
    <t>Desarrollo de una persiana automática que disminuye la entrada de radiación solar en ventanales, a fin de disminuir el calor que entra en un recinto, que utiliza un elemento de memoria de forma que permita actuar como sensor-actuador, sin la necesidad de energía eléctrica.</t>
  </si>
  <si>
    <t>Emprendedores/2022/82</t>
  </si>
  <si>
    <t>Ingrid Guadalupe Martínez Baeza</t>
  </si>
  <si>
    <t>Turismo responsable: Fuente de abasto no convencional de agua, mediante la captación de humedad relativa del aire y agua pluvial</t>
  </si>
  <si>
    <t>Mecatrónica/ Arquitectura</t>
  </si>
  <si>
    <t>ingrid.mtz94.ib@gmail.com</t>
  </si>
  <si>
    <t>Desarrollar un sistema que sea una fuente no convencional de abasto de agua, mediante la condensación del agua existente en la humedad relativa del aire y agua pluvial, para reutilizar este recurso en un sistema hidrosanitario como parte de la infraestructura arquitectoica e ingenieril de un desarrollo eco-turistico que implemente la economía circular en cualquier desarrollo turístico</t>
  </si>
  <si>
    <t>Emprendedores/2022/83</t>
  </si>
  <si>
    <t>Cristian Bryan Gómez García</t>
  </si>
  <si>
    <t>Reciclaje de polímeros</t>
  </si>
  <si>
    <t>Universidad Politécnica de Otzolotepec</t>
  </si>
  <si>
    <t>cbgg2505@gmail.com</t>
  </si>
  <si>
    <t>Reciclaje y transformación del polietileno en productos de nuevo uso como tejas para la construcción, tubos, tablas para cocinar, dispositivos de riego entre otros.</t>
  </si>
  <si>
    <t>Emprendedores/2022/85</t>
  </si>
  <si>
    <t>Ana Rosa Vásquez Mejía</t>
  </si>
  <si>
    <t>Máquina de corte laser</t>
  </si>
  <si>
    <t>Centro Universitario UAEMex Tenancingo</t>
  </si>
  <si>
    <t>vasquezmejiaanarosa@gmail.com</t>
  </si>
  <si>
    <t>Contar con una cortadora láser, que permita cortar o grabar con la ayuda de un mando de control desde un programa 2D y con un láser de alta potencia.</t>
  </si>
  <si>
    <t>Emprendedores/2022/86</t>
  </si>
  <si>
    <t>Miguel García Cayetano</t>
  </si>
  <si>
    <t>Satélite enlatado SAT-BEE 1</t>
  </si>
  <si>
    <t>mgarciac027@alumno.uaemex.mx
miguel.caye12@gmail.com</t>
  </si>
  <si>
    <t xml:space="preserve">Diseñar y construir un satélite enlatado (satélite a escala), que sea capaz de emular un sistema satelital verdadero, con la finalidad de  obtener datos relevantes del entorno como temperatura, altura, presión atmosférica, GPS (geolocalización) y un módulo de cámara para recabar imágenes terrestres. </t>
  </si>
  <si>
    <t>Emprendedores/2022/87</t>
  </si>
  <si>
    <t>Mónica del Carmen Alvarado Navarrete</t>
  </si>
  <si>
    <t>Cohete XITZIN-1</t>
  </si>
  <si>
    <t>Aeroespacial</t>
  </si>
  <si>
    <t>malvaradon006@alumno.uaemex.mx</t>
  </si>
  <si>
    <t>Diseñar y construir un cohete experimental de propelente sólido que sea capaz de volar a una altitud de 1000 metros; con la finalidad de recolectar datos de vuelo como de variables físicas (presión, altitud, temperatura.) y variables de vuelo (posición, velocidad, aceleración)</t>
  </si>
  <si>
    <t>Emprendedores/2022/89</t>
  </si>
  <si>
    <t>Diego Gerardo Sánchez Dueñas</t>
  </si>
  <si>
    <t>Link Card Tu tarjeta de presentación interactiva</t>
  </si>
  <si>
    <t>Universidad Tecnológica de México Campus Ecatepec</t>
  </si>
  <si>
    <t>diegosd2297@gmail.com</t>
  </si>
  <si>
    <t>Desarrollar un sitio web personal, donde se encuentre tu tarjeta de presentación de manera interactiva, donde se pueda navegar entre ventanas para conocer al protagonista de la link-card en cuestiones como curriculum e información profesional y personal</t>
  </si>
  <si>
    <t>Emprendedores/2022/95</t>
  </si>
  <si>
    <t>Christian Ivan León Tenorio</t>
  </si>
  <si>
    <t>Enlaza-TEA, Plataforma de capacitación autodidacta y gratuita para familiares de personas con transtorno de espectro autista (TEA), con la opción para concretar citas con especialistas en esta materia</t>
  </si>
  <si>
    <t>Tic's/Salud</t>
  </si>
  <si>
    <t>Temascalapa</t>
  </si>
  <si>
    <t>Universidad Tecnológica de Tecámac</t>
  </si>
  <si>
    <t>christianivanleontenorio@gmail.com</t>
  </si>
  <si>
    <t>Crear una plataforma que una de manera efectiva al conjunto de especialistas (psicólogos infantiles, neurólogos pediátricos, psiquiatras, nutriólogos, etc.) con las personas responsables o preocupadas por el bienestar de los infantes que presentan Trastorno del Espectro Autista (TEA)</t>
  </si>
  <si>
    <t>Emprendedores/2022/104</t>
  </si>
  <si>
    <t>Alejandro Gabriel Hernández</t>
  </si>
  <si>
    <t>SHARE+</t>
  </si>
  <si>
    <t>Chapa de Mota</t>
  </si>
  <si>
    <t>Instituto Tecnológico y de Estudios Superiores de Monterrey Campus Toluca</t>
  </si>
  <si>
    <t xml:space="preserve">a.gabrielhz@gmail.com </t>
  </si>
  <si>
    <t>Crear una aplicación con estructura interactiva, misma que permita trasladar los contenidos de los libros de texto de la SEP o cualquier modalidad a una interfaz didáctica y eficaz para el aprendizaje, con la implementación de un modelo tecnológico innovador, que permita que las aplicaciones puedan ser ejecutadas en cualquier dispositivo inteligente sin la necesidad de internet</t>
  </si>
  <si>
    <t>Emprendedores/2022/105</t>
  </si>
  <si>
    <t>Juan Daniel Segundo Rodríguez</t>
  </si>
  <si>
    <t>DH ROBOTICS. Diseño y desarrollo de prototipos robóticos didácticos y de competencia</t>
  </si>
  <si>
    <t>Robótica/Electrónica</t>
  </si>
  <si>
    <t>Universidad de Ixtlahuaca CUI</t>
  </si>
  <si>
    <t>daniel.segundo@uicui.edu.mx</t>
  </si>
  <si>
    <t>Diseño y fabricación de componentes electrónicos, desarrollo de prototipos y fabricación de elementos mediante mecanizado e impresión 3D, además de brindar asesoría al desarrollo de proyectos estudiantiles y de innovación de la zona norte del Estado de México</t>
  </si>
  <si>
    <t>Emprendedores/2022/119</t>
  </si>
  <si>
    <t xml:space="preserve">Carmen Daniela Márquez Meza </t>
  </si>
  <si>
    <t>Botón de Auxilio médico escolar</t>
  </si>
  <si>
    <t>La paz</t>
  </si>
  <si>
    <t>Tecnológico de Estudios Superiores de Oriente del Estado de México</t>
  </si>
  <si>
    <t>daniielamz18@gmail.com</t>
  </si>
  <si>
    <t>Desarrollar una aplicación móvil que funcione como un botón de auxilio para estudiantes y se utiliza para enviar un mensaje vía whatsApp con los datos generales del estudiante, alergias y número auxiliar de un tutor para llamarles en caso de ser requerido y reducir los tiempos de espera para dar seguimiento a situaciones de riesgo.</t>
  </si>
  <si>
    <t>Emprendedores/2022/120</t>
  </si>
  <si>
    <t xml:space="preserve">Juan Carlos Zepeda Páez </t>
  </si>
  <si>
    <t>Microcentrífuga de bajo costo base fibra de carbono</t>
  </si>
  <si>
    <t>Manufactura avanza</t>
  </si>
  <si>
    <t>jczp13tm@gmail.com</t>
  </si>
  <si>
    <t xml:space="preserve">Desarrollar mejoras en la microcentrífuga convencional para facilitar su uso y disponibilidad para el consumidor integrando nuevos materiales para su elaboración y funcionamiento, que 
eficiente su funcionamiento al mismo tiempo que reduzcan sus costos e impacto ambiental. </t>
  </si>
  <si>
    <t>Emprendedores/2022/121</t>
  </si>
  <si>
    <t>Fátima Joseline Palma Martínez</t>
  </si>
  <si>
    <t>Octli, productos probióticos derivados del pulque (leche y yogurth)</t>
  </si>
  <si>
    <t>fatimapalma214@gmail.com</t>
  </si>
  <si>
    <t>Elaborar una bebida probiótica, derivada del pulque, sin alcohol y con una alta cantidad de lactobacilos haciendo uso de la cepa kefir, quie pueda usarse para su ingesta como sustituto de la leche o yogurt, o para combatir problemas gastrointestinales.</t>
  </si>
  <si>
    <t>Emprendedores/2022/123</t>
  </si>
  <si>
    <t>Jesús Brian Sánchez Cortes</t>
  </si>
  <si>
    <t>Latidos Pet</t>
  </si>
  <si>
    <t>biomedic.sanchez@gmail.com</t>
  </si>
  <si>
    <t>Desarrollar un sistema de monitoreo de señales electrocardiográficas para caninos que apoyen  al veterinario durante algún estudio, cirugía u hospitalización dando así un mayor control del estado de salud de la mascota.</t>
  </si>
  <si>
    <t>Emprendedores/2022/128</t>
  </si>
  <si>
    <t>Edgar Padilla Carrasco</t>
  </si>
  <si>
    <t>Swolft system security digital S.A.S.</t>
  </si>
  <si>
    <t>Tecnológico de Estudios Superiores del Oriente del Estado México</t>
  </si>
  <si>
    <t>pace94padilla@gmail.com</t>
  </si>
  <si>
    <t xml:space="preserve">Establecer una Agencia de consultoría de software en la zona oriente del Estado de México, que permita orientar e informar a los pequeños negocios sobre las nuevas tecnologías que pueden implementar para hacer su empresa mucho más productiva. </t>
  </si>
  <si>
    <t>Emprendedores/2022/136</t>
  </si>
  <si>
    <t xml:space="preserve">Nancy Molina Mancilla </t>
  </si>
  <si>
    <t>MIJARDIIN “Microfarm”</t>
  </si>
  <si>
    <t>Texcoco</t>
  </si>
  <si>
    <t>Universidad Autónoma Chapingo</t>
  </si>
  <si>
    <t>mnancy82@hotmail.com</t>
  </si>
  <si>
    <t>Desarrollar una Granja vertical con luz artificial y un sistema de producción cerrado, con una estructura similar a un almacén con aislamiento térmico y casi hermética  donde las condiciones ambientales para el crecimiento vegetal sean óptimamente controladas , con múltiples estantes de cultivo y múltiples niveles apilados verticalmente en el interior para permitir una mayor producción en menor espacio.</t>
  </si>
  <si>
    <t>CONVOCATORIA 2023</t>
  </si>
  <si>
    <t>Emprendedores/2023/04</t>
  </si>
  <si>
    <t>Claudia González Ruiz</t>
  </si>
  <si>
    <t>Reci-klg</t>
  </si>
  <si>
    <t>Desarrollo Sustentable</t>
  </si>
  <si>
    <t>clausmx14@gmail.com</t>
  </si>
  <si>
    <t>Reciclaje de paneles solares, desmontando cada uno de los componentes que lo integra</t>
  </si>
  <si>
    <t>Emprendedores/2023/05</t>
  </si>
  <si>
    <t>Ernesto Rojas Rodríguez</t>
  </si>
  <si>
    <t>Granja vertical automatizada para producción de hortalizas en sonas urbanas</t>
  </si>
  <si>
    <t>Agroalimentos</t>
  </si>
  <si>
    <t>jorroberto99@gmail.com</t>
  </si>
  <si>
    <t>granja vertical construida a partir de módulos individuales con sistema de riego e iluminación artificial confinados en un contenedor marino climatizado y equipado con paneles solares</t>
  </si>
  <si>
    <t>Emprendedores/2023/08</t>
  </si>
  <si>
    <t>Cristhian Alejandro Romero González</t>
  </si>
  <si>
    <t>BE SAFE</t>
  </si>
  <si>
    <t>Electromecánica y Logística</t>
  </si>
  <si>
    <t>Tecnológico de estudios superiores de Chalco</t>
  </si>
  <si>
    <t>0cristhiannoname@gmail.com</t>
  </si>
  <si>
    <t>sistema de control para disminuir el robo de carga en caja de tráilers, utilizando el  monitoreo para supervisar al conductor y permite un control en la gestión de carga</t>
  </si>
  <si>
    <t>Emprendedores/2023/10</t>
  </si>
  <si>
    <t>Araceli Salinas Valero</t>
  </si>
  <si>
    <t>Producción de briquetas o pellets de biomasa a partir de desechos de la floricultura y carpintería</t>
  </si>
  <si>
    <t>Centro Universitario Ixtlahuaca</t>
  </si>
  <si>
    <t>aracelisalinas252@gmail.com</t>
  </si>
  <si>
    <t>Briquetas o pellets de biomada fabricadas a partir de la mezcla de desechos de la floricultura y de aserrin de pino</t>
  </si>
  <si>
    <t>Emprendedores/2023/12</t>
  </si>
  <si>
    <t>Joshua Esaú Patiño Espejel</t>
  </si>
  <si>
    <t>AGRIVERT: Agricultura vertical inteligente para alimentar a México</t>
  </si>
  <si>
    <t>Tezoyuca</t>
  </si>
  <si>
    <t>joshua210296@outlook.com</t>
  </si>
  <si>
    <t>sistema vertical de producción de hortalizas de hoja bajo iluminación artificial, en el cual las plantas crecen en un ambiente controlado, es decir, todos los elementos involucrados en el crecimiento (luz, agua, nutrientes, CO2, temperatura, humedad, velocidad del aire, entre otros) son regulados y mantenidos dentro del rango óptimo.</t>
  </si>
  <si>
    <t>Emprendedores/2023/13</t>
  </si>
  <si>
    <t xml:space="preserve">Porfirio Cortez Solís </t>
  </si>
  <si>
    <t>App-render</t>
  </si>
  <si>
    <t>TIC`S</t>
  </si>
  <si>
    <t>55 6059 5537</t>
  </si>
  <si>
    <t>cortezsolisporfirio@gmail.com</t>
  </si>
  <si>
    <t>Consiste en una aplicación web para la alfabetización dirigida a población adulta con diversos contenidos dedicados para el aprendizaje. Los contenidos multimedia ayudan a reafirmar conocimientos vistos en clase, además de incluir juegos que incentiven la memoria y concentración de los educandos.</t>
  </si>
  <si>
    <t>Emprendedores/2023/17</t>
  </si>
  <si>
    <t>Bryan Enrique Melendez Flores</t>
  </si>
  <si>
    <t>MEJUPIS</t>
  </si>
  <si>
    <t>Ingeniería</t>
  </si>
  <si>
    <t>201811364@tese.edu.mx</t>
  </si>
  <si>
    <t>Máquina empaquetadora de juguetería de pirotecnia</t>
  </si>
  <si>
    <t>Emprendedores/2023/19</t>
  </si>
  <si>
    <t>Diseño y fabricación de bioesponjas de Aloe vera y otras plantas parenquimatosas enriquecidas con biomateriales para su uso en biomedicina</t>
  </si>
  <si>
    <t>Biotenología/Salud</t>
  </si>
  <si>
    <t>daniel.biotechnologies@hotmail.com</t>
  </si>
  <si>
    <t>Las bioesponjas de Aloe vera bioinspiradas son estructuras porosas de hidrogel que imitan la estructura de las esponjas marinas y se fabricarán a partir de la planta de Aloe vera, así como otras plantas parenquimatosas. El Aloe vera es un ingrediente natural que se ha utilizado en el campo de la medicina y la cosmética durante ya hace muchísimo tiempo, debido a sus propiedades regenerativas, antimicrobianas y calmantes de la piel.</t>
  </si>
  <si>
    <t>Emprendedores/2023/21</t>
  </si>
  <si>
    <t>Derik Geovani Vilchis Roa</t>
  </si>
  <si>
    <t>Experience</t>
  </si>
  <si>
    <t>722 559 5699</t>
  </si>
  <si>
    <t>derikroa@gmail.com</t>
  </si>
  <si>
    <t>Aplicación web que contendrá información acerca de eventos culturales, turísticos, deportivos y sociales del Estado de México</t>
  </si>
  <si>
    <t>Emprendedores/2023/33</t>
  </si>
  <si>
    <t>Karime Guillen Libien</t>
  </si>
  <si>
    <t>KAMAPA: Naturaleza en tu vida</t>
  </si>
  <si>
    <t>kariglib@outlook.com</t>
  </si>
  <si>
    <t xml:space="preserve">productos orgánicos completamente sostenibles; hechos con residuos como cáscaras, cereales, plantas no únicamente como materia prima, sino también a través de procesos biotecnológicos se utilizan para obtención de pigmentos y aromas con el fin de agregarlos como componentes de los productos como jabones, cremas, etc. </t>
  </si>
  <si>
    <t>Emprendedores/2023/35</t>
  </si>
  <si>
    <t>Ana Elena Cedillo Olivos</t>
  </si>
  <si>
    <t>Setabeche: innovación en encurtidos</t>
  </si>
  <si>
    <t>anae_ceo@hotmail.com</t>
  </si>
  <si>
    <t>Producir Hongos setas en encurtido</t>
  </si>
  <si>
    <t>Emprendedores/2023/39</t>
  </si>
  <si>
    <t>Brenda Chávez Martínez</t>
  </si>
  <si>
    <t>Uso de aloe vera para la fabricación de película bioplástica</t>
  </si>
  <si>
    <t>brenda.iqu@tesco.edu.mx</t>
  </si>
  <si>
    <t>Película bioplástica degradable con similitudes en apariencia y funcionalidad al plástico</t>
  </si>
  <si>
    <t>Emprendedores/2023/40</t>
  </si>
  <si>
    <t>Mariana Itzel Victoriano Salazar</t>
  </si>
  <si>
    <t>Implementación de cadena de empaque y frio, con el propósito de certificar el producto así como de incrementar la inocuidad y prácticas de higiene para el proceso de alimentos y la vida de anaquel dando cumplimiento a los requerimientos de empaque, etiquetado y conservación</t>
  </si>
  <si>
    <t>Universidad Mexiquense del Bicentenario</t>
  </si>
  <si>
    <t>Implementación de un cuarto de empaque, camara de frio para la conservación y cimplimiento de requerimientos en productos de grado alimenticio, así como el correcto etiquetado.</t>
  </si>
  <si>
    <t>Emprendedores/2023/51</t>
  </si>
  <si>
    <t>Sergio Dolores Beltrán</t>
  </si>
  <si>
    <t>Desarrollo y acreditación de un método de calibración de medidores de flujo para dar cumplimiento a las disposiciones administrativas de carácter general RES/811/2015 y anexo 30 de la miscelánea fiscal.</t>
  </si>
  <si>
    <t>Química</t>
  </si>
  <si>
    <t>luis.beltran0706@gmail.com</t>
  </si>
  <si>
    <t>Un servicio de calibración de instrumentos de medición de volumen de hidrocarburos en estaciones de servicio, centros de distribución y terminales de almacenamiento.</t>
  </si>
  <si>
    <t>Emprendedores/2023/53</t>
  </si>
  <si>
    <t xml:space="preserve">¡De la innovación, a la acción!
</t>
  </si>
  <si>
    <t xml:space="preserve">alegamedu@gmail.com </t>
  </si>
  <si>
    <t>Es una idea de cambio a un producto existente. Por lo que se pretende colocar antioxidantes o crio conservar durante en procesamiento de semen para dar a los productores un lapso más grande de tiempo y variación de temperatura para las dosis, pudiéndolas conservar en un refrigerador convencional.</t>
  </si>
  <si>
    <t>Emprendedores/2023/56</t>
  </si>
  <si>
    <t>Jorge Xavier Morales Arévalo</t>
  </si>
  <si>
    <t>Planta piloto de extracción de aceites esenciales</t>
  </si>
  <si>
    <t xml:space="preserve">7226720631
</t>
  </si>
  <si>
    <t>Jorge.xav98@gmail.com</t>
  </si>
  <si>
    <t>Una planta piloto de extracción de aceite esenciales diseñada para extraer y destilar aceites esenciales de materiales vegetales.</t>
  </si>
  <si>
    <t>Emprendedores/2023/57</t>
  </si>
  <si>
    <t>María Guadalupe González Gómez</t>
  </si>
  <si>
    <t>Desarrollo y acreditación de un laboratorio de ensayos de aptitud</t>
  </si>
  <si>
    <t>Universidad Politécnica del Valle de Toluca</t>
  </si>
  <si>
    <t>722 247 8304</t>
  </si>
  <si>
    <t>mggg_ibt046@hotmail.com</t>
  </si>
  <si>
    <t>Laboratorio proveedor de ensayos de aptitud para laboratorios de ensayo y calibración</t>
  </si>
  <si>
    <t>Emprendedores/2023/58</t>
  </si>
  <si>
    <t>Samuel Silva Xelhuantzi</t>
  </si>
  <si>
    <t>Innovación, gestión y desarrollo tecnológico para la formulación de un edulcorante a base de colágeno, para innovar en la industria de los edulcorantes</t>
  </si>
  <si>
    <t>Química/Alimentos</t>
  </si>
  <si>
    <t>CIATEQ A.C.</t>
  </si>
  <si>
    <t>samuel.silvax@hotmail.com</t>
  </si>
  <si>
    <t xml:space="preserve"> edulcorante de mesa a base de colágeno y Fruta del Monje en el mundo, el producto será 5 veces más dulce respecto a la sacarosa, generando un mayor valor nutricional al consumidor respecto a las alternativas del mercado</t>
  </si>
  <si>
    <t>Emprendedores/2023/64</t>
  </si>
  <si>
    <t>Marbella Irais Ledesma Cárdenas</t>
  </si>
  <si>
    <t>EDUXMET (Educación que trasciende los métodos) - Sistema de aplicaciones para el fortalecimiento de una educación inclusiva</t>
  </si>
  <si>
    <t>Cuautitlán Izcalli</t>
  </si>
  <si>
    <t>Tecnológico de Estudios Superiores de Cuautitlán Izcalli</t>
  </si>
  <si>
    <t>marbellairais.lc@gmail.com</t>
  </si>
  <si>
    <t>Plataforma de aprendizaje y seguimiento con acceso a juegos y actividades educativas formalizadas</t>
  </si>
  <si>
    <t>Emprendedores/2023/65</t>
  </si>
  <si>
    <t>Pilar del Carmen Sánchez Bonifacio</t>
  </si>
  <si>
    <t xml:space="preserve">Reciclaje de desechos de comercios dedicados a la venta de frituras para su aprovechamiento en un proceso de saponificación
</t>
  </si>
  <si>
    <t>sanchezbon.p@gmail.com</t>
  </si>
  <si>
    <t>Un sistema para el manejo integral y purificación de residuo de aceite cocina.</t>
  </si>
  <si>
    <t>Emprendedores/2023/67</t>
  </si>
  <si>
    <t>Joshua Ramirez Carmona</t>
  </si>
  <si>
    <t>Sistema inteligente y portátil de identificación de cáncer de mama mediante el análisis de imágenes termoscópicas</t>
  </si>
  <si>
    <t>chito_216803@yahoo.com.mx</t>
  </si>
  <si>
    <t>Sistema para el análisis de imágenes y aprendizaje automático para detectar cáncer de mama de manera temprana y precisa</t>
  </si>
  <si>
    <t>Emprendedores/2023/75</t>
  </si>
  <si>
    <t>Hugo Arian Marin Tapia</t>
  </si>
  <si>
    <t xml:space="preserve">Diseño y desarrollo de una biotinta para la Bioimpresión 3D de equivalentes de córnea. </t>
  </si>
  <si>
    <t>hugo.marint@hotmail.com</t>
  </si>
  <si>
    <t>Desarrollar una biotinta útil para la fabricación del estroma corneal mediante la Bioimpresión 3D</t>
  </si>
  <si>
    <t>Emprendedores/2023/77</t>
  </si>
  <si>
    <t xml:space="preserve">Aldo Darien Martínez Montiel </t>
  </si>
  <si>
    <t xml:space="preserve">Pomada cicatrizante de origen orgánico nanoestructurada "NANOCURE" </t>
  </si>
  <si>
    <t xml:space="preserve">5568008970
</t>
  </si>
  <si>
    <t>aldo.darienmartinezmontiel@gmail.com</t>
  </si>
  <si>
    <t xml:space="preserve">Desarrollar un producto orgánico que ayude a desvanecer cicatrices y apoyé problemas dérmicos latentes, comercializar el producto mediante la implementación de una planta piloto. </t>
  </si>
  <si>
    <t>Emprendedores/2023/84</t>
  </si>
  <si>
    <t>Jesus Iwlli Bautista Cruz</t>
  </si>
  <si>
    <t xml:space="preserve">Planta productora de alimento acuícola </t>
  </si>
  <si>
    <t>Tecnologico de Estudios Superiores  de San Felipe del Progreso</t>
  </si>
  <si>
    <t>iwllibautista@gmail.com</t>
  </si>
  <si>
    <t>Microplanta productora de alimento acuicola, encargada de producir alimento para las distintas etapas de crecimiento de los peces.</t>
  </si>
  <si>
    <t>Emprendedores/2023/92</t>
  </si>
  <si>
    <t>Laura Gisela Gasca López</t>
  </si>
  <si>
    <t>Cultivo, producción y comercialización del hongo Shiitake (Letinula edodes) en el Estado de México</t>
  </si>
  <si>
    <t>Tlalnepantla</t>
  </si>
  <si>
    <t>lgisela.gasca@gmail.com</t>
  </si>
  <si>
    <t>Sistema de cultivo, producción y comercialización del hongo Shiitake (Letinula edodes) en el Estado de México</t>
  </si>
  <si>
    <t>Emprendedores/2023/105</t>
  </si>
  <si>
    <t>Jessica Nieto Ruiz</t>
  </si>
  <si>
    <t>Pelicula Polimerica Delgada Para La Prevencion y/o Tratamiento Del Cancer Cervicouterino</t>
  </si>
  <si>
    <t>jessycanieto2015@gmail.com</t>
  </si>
  <si>
    <t>Película o membrana polimérica ultradelgada (grosor no mayor a 1 micrómetros), de forma cuadrada con dimensiones de 4 x 4 cm, formada por nanofibras que contienen en su interior principios bioactivos eficaces en el tratamiento de cáncer cervicouterino</t>
  </si>
  <si>
    <t>Emprendedores/2023/107</t>
  </si>
  <si>
    <t>Marco Antonio Alcalá Ramírez</t>
  </si>
  <si>
    <t>INCU Systems</t>
  </si>
  <si>
    <t>alcalam048@gmail.com</t>
  </si>
  <si>
    <t>sistema de incubación con sistema de agitación incluida para aplicaciones en el desarrollo de estudios ambientales para el desarrollo sustentable en un sinfín de laboratorios de diversas aplicaciones.</t>
  </si>
  <si>
    <t>Emprendedores/2023/110</t>
  </si>
  <si>
    <t xml:space="preserve">Miguel Armando Moran Gonzalez </t>
  </si>
  <si>
    <t>Aceite: transformando residuos en poder</t>
  </si>
  <si>
    <t>oviedomoran@gmail.com</t>
  </si>
  <si>
    <t>Empresa dedicada a la recolecta, valorización y transformación del aceite residual de cocina en biodiesel, con el propósito de reducir la contaminación en los mantos acuíferos.</t>
  </si>
  <si>
    <t>Emprendedores/2023/111</t>
  </si>
  <si>
    <t>Daniel Alejandro Aquino Martínez</t>
  </si>
  <si>
    <t>FertyNeem: Fertilizante y plaguicida nanoparticulado</t>
  </si>
  <si>
    <t>daniel_slip12@hotmail.com</t>
  </si>
  <si>
    <t>Fabricación de un nanobiofertilizante y plaguicida a partir de polímeros orgánicos con un principio activo constituido por extractos de azadirachta indica (neem). Fabricar una formulación plaguicida-fertilizante utilizando alta tecnología a bajos costos, como producto altamente efectivo en el control de plagas en agrocultivos.</t>
  </si>
  <si>
    <t>Emprendedores/2023/112</t>
  </si>
  <si>
    <t>Gabriel Alejandro Medel Méndez</t>
  </si>
  <si>
    <t>Protoacoustics</t>
  </si>
  <si>
    <t>Manufactura</t>
  </si>
  <si>
    <t>gmedelm001@alumno.uaemex.mx</t>
  </si>
  <si>
    <t>Sistema de control de calidad para prótesis personalizadas, pruebas acústicas no destructivas y ciencia de datos para detectar fallas en el proceso de manufactura aditiva en tiempo real, además de determinar si la pieza final cumple los estándares de acuerdo a la operación.</t>
  </si>
  <si>
    <t>Emprendedores/2023/113</t>
  </si>
  <si>
    <t>Javier López Colín</t>
  </si>
  <si>
    <t>Flixus</t>
  </si>
  <si>
    <t>jlopezc492@alumno.uaemex.mx</t>
  </si>
  <si>
    <t>Sistema de purificación de agua con métodos biotecnológicos a base de biocarbón, y supervisa la calidad de los residuos industriales mediante ultrasonido y análisis óptico, asegurando la remoción de agentes químicos tóxicos y partículas nanométricas contaminantes.</t>
  </si>
  <si>
    <t>Emprendedores/2023/115</t>
  </si>
  <si>
    <t>Héctor Omar Camacho Gutiérrez</t>
  </si>
  <si>
    <t xml:space="preserve"> Pisos de alta gama para vivienda, empresas y áreas publica</t>
  </si>
  <si>
    <t>Química/Desarrollo Sustentable</t>
  </si>
  <si>
    <t>San Mateo Atenco</t>
  </si>
  <si>
    <t>hocg6toe@hotmail.com</t>
  </si>
  <si>
    <t>Elaborar pisos a base de resina poliéster y hule de llantas reciclados son un tipo de revestimiento para pisos que se fabrican mediante la combinación de dos materiales: la resina poliéster y los gránulos de caucho obtenidos a partir de la trituración de llantas recicladas</t>
  </si>
  <si>
    <t>Emprendedores/2023/116</t>
  </si>
  <si>
    <t>Juan Antonio Arriaga Viveros</t>
  </si>
  <si>
    <t xml:space="preserve">Escalamiento de capacidades productivas para agroquimicos organicos
</t>
  </si>
  <si>
    <t>arriagajuan23@gmail.com</t>
  </si>
  <si>
    <t>Sistema de producción de productos agrícolas orgánicos</t>
  </si>
  <si>
    <t>Emprendedores/2023/122</t>
  </si>
  <si>
    <t>Gretchen Michelle Torres Rodríguez</t>
  </si>
  <si>
    <t>AlyumApps. Sistema para el pronóstico de metástasis distal en pacientes con cáncer cervicouterino en estadios localmente avanzado basado en el degradoma</t>
  </si>
  <si>
    <t xml:space="preserve">Universidad Politécnica del Valle de México
</t>
  </si>
  <si>
    <t>gretchen.torres.rodriguez@upvm.edu.mx
gretchentorres22@gmail.com</t>
  </si>
  <si>
    <t>n kit que conforma un sistema de predicción de metástasis para pacientes diagnosticadas con cáncer cervicouterino</t>
  </si>
  <si>
    <t>Emprendedores/2023/131</t>
  </si>
  <si>
    <t>Flor de María Nuñez Hernández</t>
  </si>
  <si>
    <t>Biofabric</t>
  </si>
  <si>
    <t>Textil</t>
  </si>
  <si>
    <t>Xonacatlán</t>
  </si>
  <si>
    <t>flordemaria1932@gmail.com</t>
  </si>
  <si>
    <t>Darle una segunda vida a los residuos textiles, principalmente los resultantes de la producción de peluches en el municipio de Xonacatlán, con el propósito de reducir el impacto ambiental</t>
  </si>
  <si>
    <t>Emprendedores/2023/134</t>
  </si>
  <si>
    <t>Ana Karen Tenorio Ríos</t>
  </si>
  <si>
    <t>Fortificación de Tortillas de maíz (Nutrí maíz)</t>
  </si>
  <si>
    <t>Tecnológico de Estudios Superiores del Oriente del Estado de México</t>
  </si>
  <si>
    <t>ana_karentr2704@hotmail.com</t>
  </si>
  <si>
    <t>Incorporar ingredientes a las tortillas de maíz que potencialicen su contenido en vitaminas y minerales, los insumos como el betabel,  espinaca y chapulín elementos utilizados en la gastronomía cotidiana de los mexiquenses</t>
  </si>
  <si>
    <t>Emprendedores/2023/138</t>
  </si>
  <si>
    <t>Mauricio García Chacón</t>
  </si>
  <si>
    <t>Alimento Crudo Biológicamente Apropiado embutido para perros</t>
  </si>
  <si>
    <t>Universidad del Valle de Toluca</t>
  </si>
  <si>
    <t>mauriciogch2@gmail.com</t>
  </si>
  <si>
    <t>Crear un alimento crudo embutido para perros, el cual cuenta con todos los nutrientes que éstos requieren para contar con una nutrición balanceada y completa</t>
  </si>
  <si>
    <t>Emprendedores/2023/146</t>
  </si>
  <si>
    <t>Daniel Montiel Amador</t>
  </si>
  <si>
    <t>Derivados y Optimizadores Sustentables de México (DOSUMEX)</t>
  </si>
  <si>
    <t>Tecámac</t>
  </si>
  <si>
    <t>danielmontielamador10@gmail.com</t>
  </si>
  <si>
    <t>Establecer un sistema de degradación de plástico a traves de un sistema de porilisis en ausencia de oxigeno para la disminición de la contaminación por plásticos de un solo uso</t>
  </si>
  <si>
    <t>Emprendedores/2023/147</t>
  </si>
  <si>
    <t>Claudia Ingelmo Díaz</t>
  </si>
  <si>
    <t>Centro de Producción y Propagación de Microorganismos Fermentativos para la industria Cervecera Independiente</t>
  </si>
  <si>
    <t>Instituto Tecnológico y de Estudios Superiores de Monterrey, Campus Toluca</t>
  </si>
  <si>
    <t>clauingelmo@hotmail.com</t>
  </si>
  <si>
    <t>Crear un centro de producción y propagación de microorganismos fermentativos para la industria cervecera independiente</t>
  </si>
  <si>
    <t>Emprendedores/2023/148</t>
  </si>
  <si>
    <t>Isac Noé Apóstol Cervantes</t>
  </si>
  <si>
    <t>Prótesis Biónica impresa en 3D de mano transradial con inteligencia artificial</t>
  </si>
  <si>
    <t>201811172@tese.edu.mx</t>
  </si>
  <si>
    <t xml:space="preserve">Construir un prototipo de prótesis biónica de mano transradial que permita retomar la movilidad a la persona que no cuentan con esta extremidad, a través de la implementación de articulaciones mecánicas y componentes electrónicos que simulen la fisiología perdida </t>
  </si>
  <si>
    <t>Emprendedores/2023/151</t>
  </si>
  <si>
    <t>Jennifer Romero Reyes</t>
  </si>
  <si>
    <t>AQUAPOMEX</t>
  </si>
  <si>
    <t>bt.jenromero@gmail.com</t>
  </si>
  <si>
    <t>AQUAPOMEX, es un proyecto de empresa verde sostenible que diseñó un sistema totalmente innovador de acuaponía, una combinación de hidroponía y acuacultura, que tiene la finalidad de producir vegetales orgánicos de hoja verde y peces de ornato o de consumo al mismo tiempo, sin gasto alguno de energía eléctrica.</t>
  </si>
  <si>
    <t>Emprendedores/2023/152</t>
  </si>
  <si>
    <t>Mario Alberto Villanueva Arzate</t>
  </si>
  <si>
    <t>Modelo de Negocios para Tacos Villarza</t>
  </si>
  <si>
    <t>Universidad Tecnológica de Tecamac</t>
  </si>
  <si>
    <t>mariojefe114@gmail.com</t>
  </si>
  <si>
    <t>Sistema Innovador de producción de alimentos elaborados a partir de carne de origen animal, que integra maquinaria y equipo semiautomatico para tres etapas: condimentado, cocción y disposición del producto final.</t>
  </si>
  <si>
    <t>CONVOCATORIA 2024-01</t>
  </si>
  <si>
    <t>Emprendedores/2024/15</t>
  </si>
  <si>
    <t>Juan Pablo Sanjuanero Garatachia</t>
  </si>
  <si>
    <t>Producción de nopal orgánico para elaboración de salmuera natural, obtención de BIOL y biogás empleando un biodigestor que será alimentado de materia orgánica y estiércol</t>
  </si>
  <si>
    <t>Universidad Autónoma del Estado de México, Facultad de Ciencias Agrícolas</t>
  </si>
  <si>
    <t>juampisgaratachia2020@gmail.com</t>
  </si>
  <si>
    <t>En evaluación de segunda etapa</t>
  </si>
  <si>
    <t>Producir nopal organico y prepararlo en salmuera, ahorrando costos con la utilización de gas metano que será producido por un biodigestos para la elaboración de nopales en salmuera</t>
  </si>
  <si>
    <t>Emprendedores/2024/34</t>
  </si>
  <si>
    <t>Maribel Baltazar Quezada</t>
  </si>
  <si>
    <t>Degradación de plumas de pollo a nivel prototipo de 200 litros</t>
  </si>
  <si>
    <t>Biotecnología, Ambiental</t>
  </si>
  <si>
    <t>maribelquezada1226@gmail.com</t>
  </si>
  <si>
    <t>El proyecto se enfoca en el mejoramiento de un proceso de degradación de plumas de pollo y en la obtención de un hidrolizado como un subproducto de valor agregado (Promotor de crecimiento en plantas o biofertilizante).</t>
  </si>
  <si>
    <t>Emprendedores/2024/37</t>
  </si>
  <si>
    <t>Jesica Carolina Silva Becerril</t>
  </si>
  <si>
    <t>ALSI</t>
  </si>
  <si>
    <t>Manufactura, Ambiental</t>
  </si>
  <si>
    <t>Universidad Autónoma del Estado de México, Facultad de Química</t>
  </si>
  <si>
    <t>jes.caro.sibe@gmail.com</t>
  </si>
  <si>
    <t>Aprovechamiento de los desechos de la industria cárnica como lo es el pelo de los animales de rastro, asi como calidad en el producto terminado, también se utilizan las crines del caballo para la producción de pinceles de alta calidad, joyería, industria textil.</t>
  </si>
  <si>
    <t>Emprendedores/2024/38</t>
  </si>
  <si>
    <t>Mariana Yañez Osorio</t>
  </si>
  <si>
    <t>BactiCultiva: Potenciando la agricultura regenerativa con biofertilizantes a base de consorcios de Bacterias Solubilizadoras de Fósforo encapsuladas en materiales sostenibles</t>
  </si>
  <si>
    <t>Universidad Autónoma del Estado de México, Facultad de Ciencias</t>
  </si>
  <si>
    <t>myanezo001@alumno.uaemex.mx</t>
  </si>
  <si>
    <t>desarrollo de biofertilizantes a base de consorcios de Bacterias Solubilizadoras de Fósforo encapsuladas en alginato y biocarbón</t>
  </si>
  <si>
    <t>Emprendedores/2024/41</t>
  </si>
  <si>
    <t>Luis Angel Vázquez Montaño</t>
  </si>
  <si>
    <t>Matriz extracelular fotopolimerizable con aplicaciones en medicina regenerativa y descubrimiento de nuevas terapias</t>
  </si>
  <si>
    <t>Lerma</t>
  </si>
  <si>
    <t>aangmont394@gmail.com</t>
  </si>
  <si>
    <t>Desarrollar hidrogeles de matriz extracelular fotopolimerizables, a partir de la reacción de la matriz extracelular, de distintos tejidos, con anhídrido metacrílico</t>
  </si>
  <si>
    <t>Emprendedores/2024/43</t>
  </si>
  <si>
    <t>Karla Álvarez González</t>
  </si>
  <si>
    <t>Diseño y fabricación de andamios en forma esponja obtenido de escamas y piel de pescado para su aplicación en ensayos clínicos médico-odontológicos</t>
  </si>
  <si>
    <t>karla.alvarezg13@gmail.com</t>
  </si>
  <si>
    <t>Determinar la biocompatibilidad del andamio en forma esponja obtenida de la escama y la piel de pescado para ser considerado como un biomaterial para su aplicación en diferentes áreas de la salud</t>
  </si>
  <si>
    <t>Emprendedores/2024/44</t>
  </si>
  <si>
    <t>Jesús Alberto Ramírez Bañuelos</t>
  </si>
  <si>
    <t>¿En cuánto llega?</t>
  </si>
  <si>
    <t>Logística / Transporte</t>
  </si>
  <si>
    <t>Tultepec</t>
  </si>
  <si>
    <t>Universidad Autónoma de la Ciudad de México</t>
  </si>
  <si>
    <t>jesus.alberto.r.b.mx@gmail.com</t>
  </si>
  <si>
    <t>Desarrollar una familia de 3 aplicaciones móviles, con estudiantes de 4to semestre, a través del framework de Java React Native, para atender las necesidades del transporte público y concesionado (Pasajeros, Choferes y Checadores)</t>
  </si>
  <si>
    <t>Emprendedores/2024/45</t>
  </si>
  <si>
    <t>Mishel Enrique Brito Herrera</t>
  </si>
  <si>
    <t>Plataforma de carga ligera AGV para el transporte y distribución de mercancía</t>
  </si>
  <si>
    <t>Tecnológico de Estudios superiores de Ecatepec</t>
  </si>
  <si>
    <t>201720736@tese.edu.mx</t>
  </si>
  <si>
    <t>Desarrollar un prototipo funcional de AGV capaz de transportar cargas autónoma y seguramente en un entorno controlado, integrando tecnologías de navegación, detección de obstáculos y control de movimiento, para validar la viabilidad técnica del sistema y su potencial para mejorar la eficiencia y productividad en aplicaciones logísticas usando IA para proponer soluciones optimas</t>
  </si>
  <si>
    <t>Emprendedores/2024/50</t>
  </si>
  <si>
    <t>Ximena Bravo Rojas</t>
  </si>
  <si>
    <t>Sistema de monitoreo de refrigeración en la zona de Tecámac a través de la red inalámbrica LORA-WAN para garantizar inocuidad alimentaria</t>
  </si>
  <si>
    <t>TIC's, Alimentos</t>
  </si>
  <si>
    <t>Universidad Politécnica de Tecámac</t>
  </si>
  <si>
    <t>ximena_1321141513@uptecamac.edu.mx</t>
  </si>
  <si>
    <t>Desarrollar e implementar un sistema de monitoreo de temperatura y humedad en refrigeradores de comercios de la zona de Tecámac, utilizando la tecnología de red inalámbrica LORA-WAN para garantizar la inocuidad de alimentos</t>
  </si>
  <si>
    <t>Emprendedores/2024/53</t>
  </si>
  <si>
    <t>Rurik Nava Esquivel</t>
  </si>
  <si>
    <t>Escalamiento de producción de premios para perros</t>
  </si>
  <si>
    <t>Biotecnología alimentaria</t>
  </si>
  <si>
    <t>Centro de Estudios Superiores Universitarios</t>
  </si>
  <si>
    <t>rurik_nava@hotmail.com</t>
  </si>
  <si>
    <t>Escalar la producción de premios y golosinas saludabes para perros</t>
  </si>
  <si>
    <t>Emprendedores/2024/59</t>
  </si>
  <si>
    <t>Rapax Biotec</t>
  </si>
  <si>
    <t>Issac_loar@hotmail.com</t>
  </si>
  <si>
    <t>Diseño, desarrollo e implementación de prototipos de biorreactores de inmersión temporal</t>
  </si>
  <si>
    <t>Emprendedores/2024/71</t>
  </si>
  <si>
    <t>Juan David Llanos Esquivel</t>
  </si>
  <si>
    <t>Dermoleaf Crema con incorporación de nanopartículas de cobre</t>
  </si>
  <si>
    <t>jdllanosesquivel@gmail.com</t>
  </si>
  <si>
    <t>Crema con elementos orgánicos adicionados con nanoparticulas de cobre para uso tópico amigable con pieles diabeticas</t>
  </si>
  <si>
    <t>Emprendedores/2024/73</t>
  </si>
  <si>
    <t>Katya Jocelyn Anastacio Dolores</t>
  </si>
  <si>
    <t>Mazalín</t>
  </si>
  <si>
    <t>Universidad Autónoma Metropolitana Unidad Lerma</t>
  </si>
  <si>
    <t>729 315 4909</t>
  </si>
  <si>
    <t>Katyajocelyn651@gmail.com</t>
  </si>
  <si>
    <t>Desarrollar y producir productos saludables y nutritivos en base a maíz azul nativo, harina de chapulín, miel de agave y cocoa</t>
  </si>
  <si>
    <t>Emprendedores/2024/80</t>
  </si>
  <si>
    <t>“Tabú” Tablaroca de Bambú</t>
  </si>
  <si>
    <t>Desarrollo sustentable y Arquitectura</t>
  </si>
  <si>
    <t>Cuautitlán</t>
  </si>
  <si>
    <t>55 7745 4570</t>
  </si>
  <si>
    <t>Desarrollar un panel de yeso entre dos capas de fibra de bambú, con un núcleo encapsulado de resina, acabado frontal natural y en la parte posterior en manila, como parte de un diseño arquitectónico de interiores que satisfaga la necesidad de crear elegancia en las construcciones</t>
  </si>
  <si>
    <t>Emprendedores/2024/92</t>
  </si>
  <si>
    <t>Yazmin Varela Granados</t>
  </si>
  <si>
    <t>Buu Superfoods</t>
  </si>
  <si>
    <t>Facultad de Estudios Superiores de Iztacala, Universidad Nacional Autónoma de México</t>
  </si>
  <si>
    <t>varelagy@gmail.com</t>
  </si>
  <si>
    <t>Elaborar papillas nutritivas e instantáneas, a partir de la mezcla de frutas y vegetales liofilizados, bajo la marca Buu Superfoods</t>
  </si>
  <si>
    <t>CONVOCATORIA 2024-02</t>
  </si>
  <si>
    <t>Emprendedores/2024-2/03</t>
  </si>
  <si>
    <t>Francisco Zuriel López Santín</t>
  </si>
  <si>
    <t>Desarrollo de un robot móvil agrícola enfocado en el muestreo automatizado del suelo</t>
  </si>
  <si>
    <t>Mecatrónica y Agroindustria</t>
  </si>
  <si>
    <t>Atenco</t>
  </si>
  <si>
    <t>Instituto Politécnico Nacional</t>
  </si>
  <si>
    <t>franciscozuriell@gmail.com</t>
  </si>
  <si>
    <t>En ejecución</t>
  </si>
  <si>
    <t>Diseñar y construir un sistema robótico capaz de extraer muestras de suelo agrícola de forma automática un 150% más rápido en comparación a una persona y con un 90% de precisión</t>
  </si>
  <si>
    <t>Emprendedores/2024-2/04</t>
  </si>
  <si>
    <t>Rosa Gómez Sánchez</t>
  </si>
  <si>
    <t>Producción ecológica y sustentable de huevos de aves de postura</t>
  </si>
  <si>
    <t>Jocotitlán</t>
  </si>
  <si>
    <t>Facultad de Química, UAEMEX</t>
  </si>
  <si>
    <t>Individual</t>
  </si>
  <si>
    <t>rouseegs1995@gmail.com</t>
  </si>
  <si>
    <t>Diseñar y optimizar un sistema de producción de huevos de aves de postura que integre excelencia ecológica y sostenibilidad. Se busca desarrollar un modelo libre de antibióticos que reduzca el impacto ambiental y mejore la eficiencia productiva, incorporando Tenebrio molitor en la dieta balanceada para disminuir los costos</t>
  </si>
  <si>
    <t>Emprendedores/2024-2/06</t>
  </si>
  <si>
    <t>Jaime Rodriguez Morales</t>
  </si>
  <si>
    <t>Aprovechamiento del termoplástico vulcanizado de la empresa Gates Atlacomulco S. DE R.L DE C.V para la elaboración de puertas y ventanas</t>
  </si>
  <si>
    <t>Tecnológico de Estudios Superiores de Jocotitlán</t>
  </si>
  <si>
    <t>2022150030060@tesjo.edu.mx</t>
  </si>
  <si>
    <t>Elaboración de puertas y ventanas a partir del termoplástico vulcanizado desperdiciado de la empresa Gates Atlacomulco S. DE R.L DE C.V, para ser empleados en el hogar, escuelas u oficinas, a fin de contribuir a la reducción del impacto ambiental que genera este material a un bajo costo</t>
  </si>
  <si>
    <t>Emprendedores/2024-2/09</t>
  </si>
  <si>
    <t>Luis Dominguez Castillo</t>
  </si>
  <si>
    <t>Innova Joya 3D</t>
  </si>
  <si>
    <t>Manufactura avanzada</t>
  </si>
  <si>
    <t>devoradium@hotmail.com</t>
  </si>
  <si>
    <t>modelado y fabricación de piezas de joyería implementado técnicas modernas como la impresión 3D y el mecanizado CNC</t>
  </si>
  <si>
    <t>Emprendedores/2024-2/10</t>
  </si>
  <si>
    <t>Yaritza Belem Ruiz Galván</t>
  </si>
  <si>
    <t>Nutrimentos a base de grillo para la población de México (NUBAGRIM)</t>
  </si>
  <si>
    <t>Universidad Politécnica de Texcoco</t>
  </si>
  <si>
    <t>ruizgalvanyaritza@gmail.com</t>
  </si>
  <si>
    <t>Elaboración y venta de productos elaborados a base de grillos, siendo una empresa reconocida por poseer un enfoque sustentable introduciéndolo en la alimentación diaria de las personas que realizan algún tipo de ejercicio</t>
  </si>
  <si>
    <t>Emprendedores/2024-2/12</t>
  </si>
  <si>
    <t>Diana Alejandra Navarro Barrera</t>
  </si>
  <si>
    <t>Prótesis de Rodilla Policéntrica con estabilidad Geométrica</t>
  </si>
  <si>
    <t>Biomédica</t>
  </si>
  <si>
    <t>Naucalpan de Juárez</t>
  </si>
  <si>
    <t>Universidad Mexicana</t>
  </si>
  <si>
    <t>55 1585 6870</t>
  </si>
  <si>
    <t>glbionic@outlook.com</t>
  </si>
  <si>
    <t>Producir, comercializar y distribuir prótesis de rodilla policéntrica a médicos especialistas en ortesis y prótesis, para aquellas personas con amputaciones transfemorales</t>
  </si>
  <si>
    <t>Emprendedores/2024-2/14</t>
  </si>
  <si>
    <t>Diego Alejandro Romero Sánchez</t>
  </si>
  <si>
    <t>Sistema para monitorear vibraciones del subsuelo</t>
  </si>
  <si>
    <t>Geofísica e Ingeniaría Sísmica</t>
  </si>
  <si>
    <t>Amecameca</t>
  </si>
  <si>
    <t>Tecnológico de Estudios Superiores de Chalco</t>
  </si>
  <si>
    <t>alexrsancxez1234@gmail.com</t>
  </si>
  <si>
    <t>Desarrollar un sistema de monitoreo de vibraciones del subsuelo y sus diferentes vibraciones</t>
  </si>
  <si>
    <t>Emprendedores/2024-2/18</t>
  </si>
  <si>
    <t>Daniel Martínez Rodríguez</t>
  </si>
  <si>
    <t>Diseño de prótesis biónica prototipo para una amputación transhumeral de miembros superiores</t>
  </si>
  <si>
    <t>Salud y Mecatrónica</t>
  </si>
  <si>
    <t>56 27 62 37 63</t>
  </si>
  <si>
    <t>Desarrollar un prototipo de prótesis biónica para amputaciones transhumerales que imite los movimientos naturales de los miembros superiores, mediante la integración de actuadores eléctricos y un sistema de control basado en un sensor de electroencefalograma (EEG). utilizando manufactura aditiva</t>
  </si>
  <si>
    <t>Emprendedores/2024-2/19</t>
  </si>
  <si>
    <t>Daniela Arlette Ruiz Carrillo</t>
  </si>
  <si>
    <t>Del campo a tu salud: Tortillas y snacks a base de maíz azul, adicionados con probióticos</t>
  </si>
  <si>
    <t>Tecnológico de estudios superiores de san Felipe del progreso</t>
  </si>
  <si>
    <t>712 186 7181</t>
  </si>
  <si>
    <t>danielaarcarrillo@gmail.com</t>
  </si>
  <si>
    <t>Elaborar tortillas tostadas y totopos elaborados con maíz azul nativo de la región mazahua, adicionados con probióticos</t>
  </si>
  <si>
    <t>Emprendedores/2024-2/20</t>
  </si>
  <si>
    <t>Everardo Daniel Guadarrama Garduño</t>
  </si>
  <si>
    <t>Desarrollo de cultivo productivo de hongos comestibles de alto valor nutricional y potencial medicinal</t>
  </si>
  <si>
    <t>Facultad de Ciencias de la UEMEX</t>
  </si>
  <si>
    <t>ever.dan.100@gmail.com</t>
  </si>
  <si>
    <t>Desarrollar un cultivo productivo estable de hongos comestibles con alto valor agregado</t>
  </si>
  <si>
    <t>Emprendedores/2024-2/23</t>
  </si>
  <si>
    <t>Ariadna Edith Segura Alvear</t>
  </si>
  <si>
    <t>Fabricación de un gel como agente conductor para aplicación en la electromedicina (Gel U-Soni)</t>
  </si>
  <si>
    <t>Universidad Univer Milenium</t>
  </si>
  <si>
    <t>ariadna-segura@hotmail.com</t>
  </si>
  <si>
    <t>Elaborar un gel que funja como agente conductor cuya aplicación dentro de la electromedicina sea en
ultrasonido-diagnóstico y que adicionalmente presente una respuesta terapéutica de alto nivel</t>
  </si>
  <si>
    <t>Emprendedores/2024-2/29</t>
  </si>
  <si>
    <t>Maximiliano Vallejo Avalos</t>
  </si>
  <si>
    <t>Desarrollo de estaciones de carga para vehículos eléctricos que funcionen con sistemas fotovoltaicos interconectados, híbridos y aislados</t>
  </si>
  <si>
    <t>Facultad de Ingeniería de la UEMEX</t>
  </si>
  <si>
    <t>maxvaav28@gmail.com</t>
  </si>
  <si>
    <t>Integración de sistemas fotovoltaicos con estaciones de carga para vehículos eléctricos, proporcionando soluciones sostenibles y adaptables que permitan a comunidades, empresas e individuos acceder a energías limpias</t>
  </si>
  <si>
    <t>Emprendedores/2024-2/30</t>
  </si>
  <si>
    <t>Jair Isaac Yañez Enriquez</t>
  </si>
  <si>
    <t>Interfaz Cerebro-Computadora para neurocontrolar prótesis biónica de miembro superior</t>
  </si>
  <si>
    <t>Ingeniería Biomédica</t>
  </si>
  <si>
    <t>202121788@tese.edu.mx</t>
  </si>
  <si>
    <t>Diseñar y construir una Interfaz Cerebro-Computadora (BCI) para neurocontrolar una prótesis biónica de miembro superior, mediante señales electroencefalográficas (EEG), para mejorar la calidad de vida de personas con amputaciones o parálisis muscular, permitiéndoles recuperar la autonomía en actividades cotidianas</t>
  </si>
  <si>
    <t>Emprendedores/2024-2/31</t>
  </si>
  <si>
    <t>Diego Iván García Camacho</t>
  </si>
  <si>
    <t>Keep Clean Solar (Innovación en el servicio de mantenimiento preventivo, correctivo y
predictivo para sistemas fotovoltaicos)</t>
  </si>
  <si>
    <t>722 233 4727</t>
  </si>
  <si>
    <t>ivan_gc13@outlook.com</t>
  </si>
  <si>
    <t>Servicio especializado de mantenimiento correctivo, preventivo y predictivo para sistemas fotovoltaicos y calentadores solares con la finalidad de asegurar un rendimiento óptimo en las instalaciones, prolongando su vida útil. Así como un manual del proceso del servicio de mantenimiento</t>
  </si>
  <si>
    <t>Emprendedores/2024-2/33</t>
  </si>
  <si>
    <t>Luis Edoardo García Sánchez</t>
  </si>
  <si>
    <t>Diseño e innovación en Desarrollo de Sistemas Fotovoltaicos</t>
  </si>
  <si>
    <t>luis.edoardo.garcia.sanchez@gmail.com</t>
  </si>
  <si>
    <t>Desarrollar un sistema fotovoltaico personalizado diseñado para maximizar la eficiencia energética y reducir los costos operativos en (empresas de sector comercial, residencias, viviendas, sector público, sector gubernamental, sector de agricultura, sector rural, proyectos industriales, proyectos de energía comunitaria, PYMES, viviendas sostenibles, ganaderos, hoteles y resorts) y otros sectores</t>
  </si>
  <si>
    <t>Emprendedores/2024-2/39</t>
  </si>
  <si>
    <t>Samanta Domínguez Torres</t>
  </si>
  <si>
    <t>Terapia física y equinoterapia</t>
  </si>
  <si>
    <t>UNITEC, Campus Toluca</t>
  </si>
  <si>
    <t>samanta.domtor@gmail.com</t>
  </si>
  <si>
    <t>Brindar terapía física y equinoterapia a niños y jóvenes de 0 a 18 años que presenten alguna discapacidad motriz, mental o sensorial</t>
  </si>
  <si>
    <t>Emprendedores/2024-2/40</t>
  </si>
  <si>
    <t>Ximena Hernández Pascual</t>
  </si>
  <si>
    <t>Almohadillas absorbentes "Ecokids"</t>
  </si>
  <si>
    <t>xime281116@gmail.com</t>
  </si>
  <si>
    <t>Desarrollar un absorbente ecologico capaz de sustituir al poliacrilato de sodio (SAP), para su uso en pañales de tela, y que garantice la comodidad y seguridad del usuario</t>
  </si>
  <si>
    <t>Emprendedores/2024-2/41</t>
  </si>
  <si>
    <t>José Roberto Ramírez Malagón</t>
  </si>
  <si>
    <t>Paneles solares plegables para la producción y almacenamiento de energía</t>
  </si>
  <si>
    <t>Atizapán de Zaragoza</t>
  </si>
  <si>
    <t>Desarrollar un sistema fotovoltaico aislado ensamblado en un remolque, capaz de desplegarse y retraerse de forma manual ocupando el espacio adecuado, puede ser transportado hacía cualquier zona rural sustituyendo el Suministro Eléctrico Nacional (SEN) del sistema para su aprovechamiento donde se cuente con las condiciones adecuadas</t>
  </si>
  <si>
    <t>Emprendedores/2024-2/42</t>
  </si>
  <si>
    <t>Aprende TEA. Etapa de fortalecimiento de la plataforma y creación de una app progresiva</t>
  </si>
  <si>
    <t>Tic´s y Salud</t>
  </si>
  <si>
    <t>christianivan.proyecto@gmail.com</t>
  </si>
  <si>
    <t>Mejorar y fortalecer la plataforma existente y crear una aplicación progresiva (PWA) que proporcione a los cuidadores y familiares de personas con Trastorno del Espectro Autista (TEA) una solución educativa innovadora y accesible a través de contenidos interactivos y actividades de aprendizaje continuos, flexibles y basados en evidencia</t>
  </si>
  <si>
    <t>Emprendedores/2024-2/89</t>
  </si>
  <si>
    <t>Miguel Angel Domínguez González</t>
  </si>
  <si>
    <t>Mejora en el proceso de producción de biofertilizantes orgánicos con una alta concentración de microorganismos benéficos para prevenir plagas y nutrir todo tipo de plantas. Innovación en el proceso de cribado y en el proceso de trasformación (Humedad)</t>
  </si>
  <si>
    <t>Universidad Autónoma Metropolitana, Unidad Lerma</t>
  </si>
  <si>
    <t>migueldogo1996@gmail.com</t>
  </si>
  <si>
    <t>Producir biofertilizantes orgánicos en el menor tiempo posible cumpliendo con todos los parámetros de calidad utilizando como materia prima los residuos orgánicos procedentes de explotaciones ganaderas y casas cercanas a la zona donde se implementará el proyecto</t>
  </si>
  <si>
    <t>CONVOCATORIA 2025</t>
  </si>
  <si>
    <t>Emprendedores/2025/07</t>
  </si>
  <si>
    <t>Sergio Javier Solano García</t>
  </si>
  <si>
    <t>Muros 3D prefabricados</t>
  </si>
  <si>
    <t>sergiosolanogarcia74@gmail.com</t>
  </si>
  <si>
    <t>Diseñar y fabricar muros 3D prefabricados para diferentes tipos de edificaciones, ofreciendo ventajas como mayor rapidez en la instalación, reducción de desperdicios y personalización de diseños sin aumentar costos. Mediante el uso de materiales básicos y técnicas de manufactura avanzada, se busca crear un sistema modular, sostenible y adaptable a las necesidades del mercado.</t>
  </si>
  <si>
    <t>Emprendedores/2025/08</t>
  </si>
  <si>
    <t>Samaria Odalys Puerta Arreola</t>
  </si>
  <si>
    <t>BIOCOMPOSTAS SAMI. Elaboración de compostas inoculadas con microorganismos benéficos</t>
  </si>
  <si>
    <t>samiretfcc@gmail.com</t>
  </si>
  <si>
    <t>Crear una composta inoculada con microorganismos benéficos como un biofertilizante sólido de origen orgánico obtenido a partir de la biodegradación aeróbica controlada de residuos orgánicos (como estiércoles, restos vegetales y subproductos agroindustriales).</t>
  </si>
  <si>
    <t>Emprendedores/2025/09</t>
  </si>
  <si>
    <t>Luis Fernando Alcántara Noriega</t>
  </si>
  <si>
    <t>NORBEC</t>
  </si>
  <si>
    <t>Universidad Nacional Autónoma de México</t>
  </si>
  <si>
    <t>kofifernano@gmail.com</t>
  </si>
  <si>
    <t>Elabroación de productos a base de fibras naturales y subproductos de la industria metálica y maderera</t>
  </si>
  <si>
    <t>Emprendedores/2025/11</t>
  </si>
  <si>
    <t>Claudia Margarita Ríos Jiménez</t>
  </si>
  <si>
    <t>SERFISIO</t>
  </si>
  <si>
    <t>Universidad Autónoma del Estado de México, Facultad de Medicina</t>
  </si>
  <si>
    <t>riosjimenez327@gmail.com</t>
  </si>
  <si>
    <t>Crear un consultorio que brinda un Servicio Especializado en Rehabilitación y Fisioterapia (SERFISIO)</t>
  </si>
  <si>
    <t>Emprendedores/2025/12</t>
  </si>
  <si>
    <t>Yoed Eliel Álvarez Jiménez</t>
  </si>
  <si>
    <t>MEZTLI OCELOTL</t>
  </si>
  <si>
    <t>TIC´S</t>
  </si>
  <si>
    <t>Universidad Autónoma del Estado de México, Facultad de Ingeniería</t>
  </si>
  <si>
    <t>dxtert321@outlook.com</t>
  </si>
  <si>
    <t>MEZTLI OCELT aspira a ser una empresa líder en el desarrollo de videojuegos que represente a México en el ámbito global</t>
  </si>
  <si>
    <t>Emprendedores/2025/17</t>
  </si>
  <si>
    <t>Flavio Cesar Aguilar Roldan</t>
  </si>
  <si>
    <t>Producción Escalable de Jabón Líquido a base de residuos orgánicos biodegradables</t>
  </si>
  <si>
    <t>Morelos</t>
  </si>
  <si>
    <t>cesarag676@gmail.com</t>
  </si>
  <si>
    <t>Desarrollar y comercializar jabón líquido blanco biodegradable a partir de aceite de cocina reciclado, contribuyendo a la reducción de residuos y promoviendo la sostenibilidad en el Estado de México</t>
  </si>
  <si>
    <t>Emprendedores/2025/20</t>
  </si>
  <si>
    <t>Cesar Adrián Butanda Galván</t>
  </si>
  <si>
    <t>Integración de moldes impresos en procesos de prototipado y manufactura de piezas finales</t>
  </si>
  <si>
    <t>55 3036 6736</t>
  </si>
  <si>
    <t>cead_25@hotmail.com</t>
  </si>
  <si>
    <t>Diseñar e implementar un sistema de fabricación que combine la impresión 3D en resina para la elaboración de moldes y su aplicación en procesos de inyección de plástico, con el propósito de facilitar la producción rápida, económica y funcional de prototipos y piezas finales, orientado a satisfacer necesidades de la industria, la investigación y el desarrollo tecnológico</t>
  </si>
  <si>
    <t>Emprendedores/2025/21</t>
  </si>
  <si>
    <t>Uriel Gutiérrez Mercado</t>
  </si>
  <si>
    <t>Reduciendo Brechas en Salud: Desarrollo de PCR Económicos y Kits Diagnósticos para el Estado de México</t>
  </si>
  <si>
    <t xml:space="preserve">Universidad Autónoma del Estado de México, Facultad de Ciencias </t>
  </si>
  <si>
    <t>729 315 2636</t>
  </si>
  <si>
    <t>urielmercutier@gmail.com</t>
  </si>
  <si>
    <t>La invención propuesta es un termociclador de bajo costo y kits de diagnóstico molecular accesibles, diseñados para la detección de agentes patógenos de importancia clínica como el VIH, la tuberculosis y el virus del papiloma humano. El dispositivo utiliza celdas Peltier para el control de temperatura, un sistema óptico de fluorescencia para la detección de amplicones y microcontroladores IoT para el monitoreo remoto</t>
  </si>
  <si>
    <t>Emprendedores/2025/22</t>
  </si>
  <si>
    <t>Christian Romero Martínez</t>
  </si>
  <si>
    <t xml:space="preserve">Diseño de un maniquí simulador de paciente para mejorar la práctica de auscultación cardíaca en la formación médica </t>
  </si>
  <si>
    <t>722 388 9451</t>
  </si>
  <si>
    <t>chriistian173@gmail.com</t>
  </si>
  <si>
    <t>Crear un maniquí de simulación médica que sea capaz de reproducir sonidos cardíacos y que cuente con un diseño anatómico preciso, para facilitar el desarrollo de habilidades de auscultación en estudiantes de medicina, permitiéndoles mejorar sus conocimientos teóricos y prácticos en un entorno de aprendizaje inmersivo, seguro y controlado</t>
  </si>
  <si>
    <t>Emprendedores/2025/23</t>
  </si>
  <si>
    <t xml:space="preserve">Rubén Mociño Rodríguez </t>
  </si>
  <si>
    <t>Sistema modular de nutrición funcional y alimentos bioactivos para entornos educativos: soluciones accesibles para fomentar hábitos alimentarios saludables</t>
  </si>
  <si>
    <t>Alimentos/salud</t>
  </si>
  <si>
    <t>Universidad Tecnológica de México</t>
  </si>
  <si>
    <t>Rubenciux_55@hotmail.com</t>
  </si>
  <si>
    <t>El proyecto consiste en el desarrollo e implementación de un sistema modular de nutrición funcional y alimentos bioactivos, diseñado para operar en entornos educativos como universidades, preparatorias y centros escolares del Estado de México. Su objetivo principal es ofrecer alternativas alimentarias saludables, accesibles y funcionales, mediante combinaciones de  alimentos frescos e infusiones naturales que aporten beneficios nutricionales</t>
  </si>
  <si>
    <t>Emprendedores/2025/25</t>
  </si>
  <si>
    <t>Abril Isabel Nava De La Luz</t>
  </si>
  <si>
    <t>EFYSIA</t>
  </si>
  <si>
    <t>Universidad Anáhuac México, Norte</t>
  </si>
  <si>
    <t>abril.nava@anahuac.mx</t>
  </si>
  <si>
    <t>Desarrollar y comercializa biotintes elaborados a partir de microalgas como alternativa a los tintes sintéticos. Ofrece una solución biodegradable, libre de químicos tóxicos, accesible y trazable que contribuye a reducir la contaminación del agua y las emisiones de CO₂ en la industria textil</t>
  </si>
  <si>
    <t>Emprendedores/2025/26</t>
  </si>
  <si>
    <t>María Fernanda Gómez Gutiérrez</t>
  </si>
  <si>
    <t>Cacahuates funcionales con alto contenido proteico “Kanon"</t>
  </si>
  <si>
    <t>al222211536@gmail.com</t>
  </si>
  <si>
    <t>Cacahuates funcionales con alto contenido proteico, recubiertos con una mezcla de harina de chapulín y especias, diseñados para ofrecer un snack más nutritivo y saludable</t>
  </si>
  <si>
    <t>Emprendedores/2025/31</t>
  </si>
  <si>
    <t>Luis Darian Aguilar Oro</t>
  </si>
  <si>
    <t>KidFlash: Dispositivo IoT para Conservación de Muestras Biomédicas con Monitoreo Termodinámico Avanzado</t>
  </si>
  <si>
    <t>darianoro_11@live.com</t>
  </si>
  <si>
    <t>KidFlash es un dispositivo innovador de Internet de las Cosas (IoT) diseñado para la conservación y transporte de muestras biomédicas. Utiliza un sistema de control térmico avanzado mediante celdas Peltier para mantener las condiciones térmicas óptimas durante el transporte, garantizando la integridad de las muestras biológicas sensibles a las variaciones de temperatura</t>
  </si>
  <si>
    <t>Emprendedores/2025/48</t>
  </si>
  <si>
    <t>Angel Cruz López</t>
  </si>
  <si>
    <t>Rescate agroproductivo Mazahua: Implementación de microtúneles para el cultivo de arándano en zonas de alta marginación</t>
  </si>
  <si>
    <t>San José del Rincón</t>
  </si>
  <si>
    <t>Universidad Mexiquense del Bicentenario, Unidad San José del Rincón</t>
  </si>
  <si>
    <t>ac5412834@gmail.com</t>
  </si>
  <si>
    <t>Establecer un sistema de producción de arándano bajo microtúnel en la región Mazahuz para incrementar ingresos económicos de pequeños productores mediante tecnología sostenible con altos estandares de calidad.</t>
  </si>
  <si>
    <t>Emprendedores/2025/52</t>
  </si>
  <si>
    <t>Samantha Ruth Aguilera Benítez</t>
  </si>
  <si>
    <t>Algastic</t>
  </si>
  <si>
    <t>Instituto Tecnológico y de Estudios Superiores de Monterrey</t>
  </si>
  <si>
    <t>samantha.aguilerab@gmail.com</t>
  </si>
  <si>
    <t>Desarrollar y comercializar bioplásticos a partir de alginato de sodio, un derivado del sargazo o alga parda, con el fin de ofrecer una alternativa sostenible que y contribuya a la reducción de la contaminación generada por plásticos de un solo uso</t>
  </si>
  <si>
    <t>Emprendedores/2025/55</t>
  </si>
  <si>
    <t>Miguel Alejandro Trejo Rangel</t>
  </si>
  <si>
    <t>Preparación de bioplásticos sustitutos del PET a partir de biomasa</t>
  </si>
  <si>
    <t>Química y Desarrollo sustentable</t>
  </si>
  <si>
    <t>alejandro.treran@gmail.com</t>
  </si>
  <si>
    <t>Desarrollar y optimizar un nuevo método para la preparación del monómero FDCA y su polímero PEF a partir de fuentes renovables a escala laboratorio</t>
  </si>
  <si>
    <t>Emprendedores/2025/60</t>
  </si>
  <si>
    <t>Desarrollo y validación de un sistema libre de células de nueva generación para la producción de proteínas recombinantes con alto rendimiento</t>
  </si>
  <si>
    <t>Biotecnología y salud</t>
  </si>
  <si>
    <t>Desarrollar un proceso biotecnológico escalable para la producción de proteínas recombinantes utilizando un sistema libre de células, y validarlo mediante la síntesis de insulina humana como modelo de una proteína de alto valor médico</t>
  </si>
  <si>
    <t>Emprendedores/2025/62</t>
  </si>
  <si>
    <t>Irving Adrián Zúñiga Rojas</t>
  </si>
  <si>
    <t>INHAEV: Diseño de interfaz háptica para entornos virtuales utilizados en rehabilitación de miembro superior</t>
  </si>
  <si>
    <t>Bioingeniería Médica</t>
  </si>
  <si>
    <t>irvingadrianz.r@gmail.com</t>
  </si>
  <si>
    <t>Diseñar y manufacturar una interfaz háptica en forma de balanza que permita una interacción más intuitiva y libre de fatiga para pacientes en rehabilitación de miembro superior, eliminando la percepción del peso del dispositivo y reduciendo la fricción durante su uso en entornos virtuales</t>
  </si>
  <si>
    <t>Emprendedores/2025/63</t>
  </si>
  <si>
    <t>Sistema automatizado de distribución de aire para biorreactores de inmersión temporal</t>
  </si>
  <si>
    <t>Villa del Carbón</t>
  </si>
  <si>
    <t>Sistema Automatizado de Distribución de Aire diseñado específicamente para su integración en biorreactores de inmersión temporal, utilizados en el cultivo in vitro de plantas. Este sistema permite controlar y regular de forma precisa el suministro de aire estéril hacia los recipientes de cultivo, siendo un componente clave para garantizar condiciones óptimas de oxigenación y funcionamiento automatizado del proceso</t>
  </si>
  <si>
    <t>Emprendedores/2025/65</t>
  </si>
  <si>
    <t>Carlos Enrique Alcocer Aviles</t>
  </si>
  <si>
    <t>DeLKa Innovation: producción sustentable de biocarbón para aplicaciones ambientales, agroindustriales y nanotecnológicas</t>
  </si>
  <si>
    <t>Desarrollo Sustentable / Ambiental</t>
  </si>
  <si>
    <t>cealcocera@gmail.com
Datos de los integrantes del proyecto</t>
  </si>
  <si>
    <t>Desarrollar una línea de producción sustentable y tecnológicamente innovadora de biocarbón multifuncional a partir de residuos orgánicos para su aplicación en procesos de encapsulación de compuestos químicos, remediación ambiental y tecnologías emergentes</t>
  </si>
  <si>
    <t>Emprendedores/2025/66</t>
  </si>
  <si>
    <t>Alberto Avila Nuñez</t>
  </si>
  <si>
    <t>Tótem Solar para eventos masivos</t>
  </si>
  <si>
    <t>betoavgine1013@hotmail.com</t>
  </si>
  <si>
    <t>Desarrollar y probar un prototipo de sistema fotovoltaico aislado (Tótem Solar) que permite recargar dispositivos móviles en el espacio público y en eventos al aire libre, incorporando criterios de diseño ergonómico, sostenibilidad y retroalimentación de grupos usuarios potenciales</t>
  </si>
  <si>
    <t>Emprendedores/2025/69</t>
  </si>
  <si>
    <t>Hannah Verónica Bernáldez Flores</t>
  </si>
  <si>
    <t>ConFit´s: Confitería mexicana saludable y funcional</t>
  </si>
  <si>
    <t>El oro</t>
  </si>
  <si>
    <t>hannah130.flo@gmail.com</t>
  </si>
  <si>
    <t>ConFit´s, es una marca de productos de confitería orientada a incrementar el valor nutricional y la funcionalidad de los dulces tradicionales mexicanos, a partir del desarrollo de nuevas formulaciones y la incorporación de ingredientes naturales obtenidos mediante el aprovechamiento de los residuos de cosecha que se generan en el campo mexiquense</t>
  </si>
  <si>
    <t>Emprendedores/2025/72</t>
  </si>
  <si>
    <t>Anthony Francisco Rodríguez Hernández</t>
  </si>
  <si>
    <t>Sistema autónomo de detección de gases y monitoreo ambiental para minería subterránea</t>
  </si>
  <si>
    <t>202021443@tese.edu.mx</t>
  </si>
  <si>
    <t>Desarrollar un prototipo funcional de robot autónomo para minería subterránea, equipado con sensores de detección en tiempo real de gases peligrosos como metano, así como niveles críticos de oxígeno, con el propósito de incrementar la seguridad operativa, reducir el riesgo de explosiones y minimizar la exposición del personal a ambientes tóxicos o con deficiencia de oxígeno en túneles y galerías mineras</t>
  </si>
  <si>
    <t>Emprendedores/2025/73</t>
  </si>
  <si>
    <t>Juan Carlos Zepeda Paez</t>
  </si>
  <si>
    <t>KONETL: Auxiliar tecnológico para el monitoreo y detección de apnea neonatal</t>
  </si>
  <si>
    <t>Desarrollar un chaleco ergonómico e inalámbrico para monitoreo y prevención de apnea neonatal, combinando tecnología de sensores inerciales con una interfaz visual remota</t>
  </si>
  <si>
    <t>Emprendedores/2025/74</t>
  </si>
  <si>
    <t>Jesús Antonio Lobato Cadena</t>
  </si>
  <si>
    <t>Implementación de un control inteligente aplicado a un exoesqueleto para la rehabilitación de personas</t>
  </si>
  <si>
    <t>jlobato156@gmail.com</t>
  </si>
  <si>
    <t>Desarrollar un exoesqueleto robotizado para personas con paraplejia, que integra un sistema de control inteligente e ingresa energía a la locomoción humana, que utiliza sensores para monitorear la posición y movimiento de usuario y actuadores para replicar el movimiento humano en marcha en tiempo real</t>
  </si>
  <si>
    <t>Emprendedores/2025/79</t>
  </si>
  <si>
    <t>José Carlos Telesforo Silva</t>
  </si>
  <si>
    <t>Establecimiento de cultivo de hongos comestibles con efectos nootrópicos</t>
  </si>
  <si>
    <t>josecarlos25_6@hotmail.com</t>
  </si>
  <si>
    <t>Este proyecto biotecnológico tiene como objetivo la producción especializada de hongos comestibles con propiedades nootrópicas, mediante un enfoque innovador y técnicamente optimizado. Cada especie será cultivada bajo condiciones específicas y controladas, adaptando los sustratos y parámetros de cultivo para maximizar su rendimiento y concentración de compuestos funcionales</t>
  </si>
  <si>
    <t>Emprendedores/2025/80</t>
  </si>
  <si>
    <t>Beatriz Cano Miranda</t>
  </si>
  <si>
    <t>Formulación y generación de un hidrogel con propiedades osteoinductivas para la regeneración de tejido óseo</t>
  </si>
  <si>
    <t>729 652 2438</t>
  </si>
  <si>
    <t>Beatriz.cano.8718@gmail.com</t>
  </si>
  <si>
    <t>Formular y generar de un hidrogel con matriz extracelular orgánica y mineral, con propiedades osteoinductivas para la regeneración de tejido óseo</t>
  </si>
  <si>
    <t>Emprendedores/2025/83</t>
  </si>
  <si>
    <t>Jazmín Diaz Jiménez</t>
  </si>
  <si>
    <t>Producción in vitro de lisozima recombinante humana para su utilización en la industria</t>
  </si>
  <si>
    <t>Jazmin.dj11@gmail.com</t>
  </si>
  <si>
    <t>Producir in vitro de lisozima recombinante humana para su aplicación en la industria (La lisozima es una enzima que se encuentra naturalmente en diversas secreciones corporales, como las lágrimas y la saliva)</t>
  </si>
  <si>
    <t>Emprendedores/2025/86</t>
  </si>
  <si>
    <t>Genaro Sámano Laguna</t>
  </si>
  <si>
    <t>Cámara hiperbárica de estimulación ondulatoria</t>
  </si>
  <si>
    <t>Tecnológico de Estudios Superiores de Tianguistenco</t>
  </si>
  <si>
    <t>genaro_201811203@test.edu.mx</t>
  </si>
  <si>
    <t>La invención consiste en una cámara hiperbárica de nueva generación, diseñada para ofrecer oxigenoterapia en condiciones controladas de presión atmosférica elevada, integrada con un sistema interno de emisión de pulsos de ondas (mecánicas, sonoras o electromagnéticas). Esta combinación terapéutica busca mejorar los procesos de recuperación celular, neurológica y circulatoria en pacientes con enfermedades agudas o crónicas.</t>
  </si>
  <si>
    <t>Emprendedores/2025/93</t>
  </si>
  <si>
    <t>Nancy Yañes Martínez</t>
  </si>
  <si>
    <t>Desarrollo de un exoesqueleto para la potenciación del tobillo durante la marcha</t>
  </si>
  <si>
    <t>Ingeniería biomédica</t>
  </si>
  <si>
    <t>San Antonio la Isla</t>
  </si>
  <si>
    <t>nancyym538@gmail.com</t>
  </si>
  <si>
    <t>Desarrollar un exoesqueleto pasivo modular continúo de tobillo, mediante la evaluación del diseño, la implementación y validación del sistema en un entorno de laboratorio, para tener un modelo físico experimental que se capaz de imitar y disminuir el costo energético durante el ciclo de la marcha.</t>
  </si>
  <si>
    <t>Emprendedores/2025/97</t>
  </si>
  <si>
    <t>Daniela Gutiérrez Garduño</t>
  </si>
  <si>
    <t>BioQanat-Soluciones inteligentes de captación de agua</t>
  </si>
  <si>
    <t>Temascalcingo</t>
  </si>
  <si>
    <t>daniela767gutierrez@gmail.com</t>
  </si>
  <si>
    <t>Desarrollar, construir e implementar un sistema innovador de captación y  distribución de agua subterránea inspirado en la tecnología qanat tradicional, integrando automatización y TICs para optimizar su eficiencia, sostenibilidad y gestión hídrica integral</t>
  </si>
  <si>
    <t>Emprendedores/2025/98</t>
  </si>
  <si>
    <t>Oscar Wilder Montiel Lucio</t>
  </si>
  <si>
    <t>NanoDent. Dentífrico en presentación de tabletas masticables para combatir los problemas de salud bucal a base de nanopartículas</t>
  </si>
  <si>
    <t>Atlacomulco</t>
  </si>
  <si>
    <t>Wilder_montielbt@outlook.com</t>
  </si>
  <si>
    <t>Desarrollar un dentífrico funcionalizado con nanopartículas de plata en presentación de pastillas masticables para combatir problemas de salud bucal</t>
  </si>
  <si>
    <t>Emprendedores/2025/101</t>
  </si>
  <si>
    <t>Mauricio Sotelo San Juan</t>
  </si>
  <si>
    <t>Nutrilodo</t>
  </si>
  <si>
    <t>mssjtoluca@gmail.com</t>
  </si>
  <si>
    <t>Desarrollar un proceso sustentable para transformar los lodos residuales generados por la planta de tratamento de aguas de una industria del sector alimenticio en abono organico de calidad, promoviendo la economia circular y reduciendo el impacto ambiental</t>
  </si>
  <si>
    <t>Emprendedores/2025/106</t>
  </si>
  <si>
    <t>Emmanuel Job Villada Cerino</t>
  </si>
  <si>
    <t>MEXGEM NormAlert</t>
  </si>
  <si>
    <t>TIC´s</t>
  </si>
  <si>
    <t>Rayón</t>
  </si>
  <si>
    <t>Instituto Tecnológico de Toluca</t>
  </si>
  <si>
    <t>722-370-9122</t>
  </si>
  <si>
    <t>jobtrouble@gmail.com</t>
  </si>
  <si>
    <t>MEXGEM es un software especializado que permite a las empresas identificar, organizar y dar seguimiento al cumplimiento de normativas en materia de seguridad industrial, medio ambiente y protección civil.</t>
  </si>
  <si>
    <t>Emprendedores/2025/110</t>
  </si>
  <si>
    <t>Andrea Valeria Díaz Garduño</t>
  </si>
  <si>
    <t>Hidropanel bioinspirado para captación de agua atmosférica</t>
  </si>
  <si>
    <t>729 100 8189</t>
  </si>
  <si>
    <t>andreadiazgarduno@gmail.com</t>
  </si>
  <si>
    <t>Desarrollar el prototipo de un hidropanel bioinspirado para captación de agua atmosférica, inspirado en estructuras de telarañas y mecanismos de trasporte pasivos presentes en plantas, que funcione de manera autónoma y eficiente en condiciones ambientales con baja disponibilidad de agua</t>
  </si>
  <si>
    <t>PROTOTIPOS COMECYT 2024, CONVOCATORIA 29 DE FEBRERO 2024</t>
  </si>
  <si>
    <t xml:space="preserve"> DATOS GENERALES </t>
  </si>
  <si>
    <t xml:space="preserve"> CLAVE DEL PROYECTO </t>
  </si>
  <si>
    <t xml:space="preserve"> PERSONA BENEFICIARIA </t>
  </si>
  <si>
    <t xml:space="preserve"> ÁREA </t>
  </si>
  <si>
    <t xml:space="preserve"> NOMBRE DEL PROYECTO </t>
  </si>
  <si>
    <t xml:space="preserve"> MUNICIPIO </t>
  </si>
  <si>
    <t xml:space="preserve"> RESPONSABLES </t>
  </si>
  <si>
    <t xml:space="preserve"> TELEFONO </t>
  </si>
  <si>
    <t xml:space="preserve"> CORREO ELECTRÓNICO </t>
  </si>
  <si>
    <t xml:space="preserve"> DESCRIPCIÓN  </t>
  </si>
  <si>
    <t xml:space="preserve"> AÑO DE INICIO </t>
  </si>
  <si>
    <t xml:space="preserve"> AÑO DE CIERRE </t>
  </si>
  <si>
    <t xml:space="preserve"> ESTATUS </t>
  </si>
  <si>
    <t xml:space="preserve"> MONTO TOTAL SOLICITADO  AL COMECYT </t>
  </si>
  <si>
    <t xml:space="preserve"> MONTO TOTAL CONCURRENCIA </t>
  </si>
  <si>
    <t xml:space="preserve"> MONTO TOTAL DEL PROYECTO </t>
  </si>
  <si>
    <t xml:space="preserve"> Prototipos/2024/05 </t>
  </si>
  <si>
    <t xml:space="preserve"> Macrolive S. de R.L. de C.V. </t>
  </si>
  <si>
    <t xml:space="preserve"> Desarrollo Sustentable </t>
  </si>
  <si>
    <t xml:space="preserve"> Desarrollo de un prototipo de superabsorbente nanocelulosico biodegradable para uso agrícola como enmienda de suelos </t>
  </si>
  <si>
    <t xml:space="preserve"> Tenancingo </t>
  </si>
  <si>
    <t xml:space="preserve"> María de lourdes Salinas Piliado (L y T) Alejandra Salinas Piliado(A) </t>
  </si>
  <si>
    <t xml:space="preserve"> 722 2510 550 y722 1497 174 </t>
  </si>
  <si>
    <t xml:space="preserve"> lulusitaqin@gmail.com,jandrita_sali@hotmail.com </t>
  </si>
  <si>
    <t xml:space="preserve"> DESARROLLO DE UN PROTOTIPO DE SUPERABSORBENTE BASADO EN NANOCELULOSA
FIRBILAR A PARTIR DE DESECHOS DE LA FLORICULTURA PARA SER EMPLEADO COMO
RESERVORIO DE AGUA Y NUTRIENTES EN CULTIVOS FLORICOLAS. </t>
  </si>
  <si>
    <t xml:space="preserve"> cerrado </t>
  </si>
  <si>
    <t xml:space="preserve">           300,000.00</t>
  </si>
  <si>
    <t xml:space="preserve">               90,000.00</t>
  </si>
  <si>
    <t xml:space="preserve">           390,000.00</t>
  </si>
  <si>
    <t xml:space="preserve"> Prototipos/2024/06 </t>
  </si>
  <si>
    <t xml:space="preserve"> Luis Adrián Zúñiga Avilés </t>
  </si>
  <si>
    <t xml:space="preserve"> Salud </t>
  </si>
  <si>
    <t xml:space="preserve"> Diseño y fabricación de Prótesis para miembros inferiores de pequeñas especies. </t>
  </si>
  <si>
    <t xml:space="preserve"> Toluca </t>
  </si>
  <si>
    <t xml:space="preserve"> Luis Adrián Zúñiga Avilés(L y T), Joel Zagoya López(A) </t>
  </si>
  <si>
    <t xml:space="preserve"> 55 1201 8024 Y 722 6517 863 </t>
  </si>
  <si>
    <t xml:space="preserve"> lzuniga@conacyt.mx, Joel.zagoya@gmail.com </t>
  </si>
  <si>
    <t>Generar soluciones de ortopedia a pequeñas especies evitando amputaciones innecesarias, así como evitar lesiones ocasionadas por una mala postura ocasionada por una amputación, para lograr esto se generarán familias de producto que cubran órtesis, prótesis y exoesqueletos con diferentes presupuestos que se adapten a diferentes estratos socioeconómicos</t>
  </si>
  <si>
    <t xml:space="preserve">           100,000.00</t>
  </si>
  <si>
    <t xml:space="preserve">               30,000.00</t>
  </si>
  <si>
    <t xml:space="preserve">            130,000.00</t>
  </si>
  <si>
    <t xml:space="preserve"> TOTAL </t>
  </si>
  <si>
    <t> </t>
  </si>
  <si>
    <t>PROTOTIPOS COMECYT 2024, CONVOCATORIA 2024, SEGUNDA PROMOCIÓN</t>
  </si>
  <si>
    <t>excel</t>
  </si>
  <si>
    <t xml:space="preserve"> Prototipos/2024-02/01 </t>
  </si>
  <si>
    <t xml:space="preserve"> Sergio Martínez Luengas </t>
  </si>
  <si>
    <t xml:space="preserve"> Diseño e Ingeniería de molde para prototipos de piezas tipo rompecabezas </t>
  </si>
  <si>
    <t xml:space="preserve"> Naucalpan </t>
  </si>
  <si>
    <t xml:space="preserve"> Sergio Martínez Luengas (L y T), Rubén Sánchez Tejeda (A) </t>
  </si>
  <si>
    <t xml:space="preserve"> 55 1360 5673 y 55 1089 3918 </t>
  </si>
  <si>
    <t xml:space="preserve"> Live.free@live.com.mx, rstejeda@aim.com </t>
  </si>
  <si>
    <t xml:space="preserve"> diseño del molde así como sus características
físicas y propiedades de la pieza de tipo rompecabezas para su aplicación en desarrollo de bienes para la
salud y rehabilitación física </t>
  </si>
  <si>
    <t xml:space="preserve"> EN DESARROLLO DE LA SEGUNDA   ETAPA. </t>
  </si>
  <si>
    <t xml:space="preserve">             300,000.00</t>
  </si>
  <si>
    <t xml:space="preserve">                 90,000.00</t>
  </si>
  <si>
    <t xml:space="preserve">             390,000.00</t>
  </si>
  <si>
    <t xml:space="preserve"> Prototipos/2024-02/02 </t>
  </si>
  <si>
    <t xml:space="preserve"> SYS-DT, SA DE CV </t>
  </si>
  <si>
    <t xml:space="preserve"> Sistema de Estimulación Bioeléctrica STIM-SD </t>
  </si>
  <si>
    <t xml:space="preserve"> Ixtapaluca </t>
  </si>
  <si>
    <t xml:space="preserve"> Jorge Santiago Amaya, Kevin Alexis Aguilar Bailón </t>
  </si>
  <si>
    <t xml:space="preserve"> 55 6039 8644 y 55 6433 5674 </t>
  </si>
  <si>
    <t xml:space="preserve"> jorgesantiago20@hotmail.com, kevenidos@hotmail.com </t>
  </si>
  <si>
    <t>El Sistema de Estimulación Bioeléctrica STIM-SD es un sistema que desarrolla señales eléctricas para la estimulación del tejido, su función radica en tratar el Glaucoma de Ángulo Abierto (GAA) a través de campos eléctricos (terminar de desarrollarlo y aplicarlo)</t>
  </si>
  <si>
    <t xml:space="preserve"> EN DESARROLLO DE LA SEGUNDA   ETAPA </t>
  </si>
  <si>
    <t xml:space="preserve"> Prototipos/2024-02/04 </t>
  </si>
  <si>
    <t xml:space="preserve"> Krismar Computación Toluca S de RL de CV </t>
  </si>
  <si>
    <t xml:space="preserve"> TICS </t>
  </si>
  <si>
    <t xml:space="preserve"> Tarjeta electrónica KONTROL N4 </t>
  </si>
  <si>
    <t xml:space="preserve"> Metepec </t>
  </si>
  <si>
    <t xml:space="preserve"> Omar Díaz González Boyer, Gabor Díaz González Vázquez, Carlos Armando Arredondo Escobar </t>
  </si>
  <si>
    <t xml:space="preserve"> 722 4746 142, 722 394 6928, 55 4370 2281 </t>
  </si>
  <si>
    <t xml:space="preserve"> director@krismar.com.mx,gabor@krismar.com.mx,carlos@krismar.com.mx </t>
  </si>
  <si>
    <t>Diseñar, implementar y producir una tarjeta electrónica que se acople con el Arduino Mega para que controlar de
manera alámbrica o inalámbrica: motores, servomotores, sensores analógicos y digitales, leds, RGB, zumbador, Oled y
push butons para la captura y manipulación de datos del exterior con la finalidad de enseñar al usuario las bases para
programar y controlar diversos dispositivos</t>
  </si>
  <si>
    <t xml:space="preserve"> En espera, de instrucciones para cerrarlo </t>
  </si>
  <si>
    <t xml:space="preserve">              265,006.00</t>
  </si>
  <si>
    <t xml:space="preserve">                 80,000.00</t>
  </si>
  <si>
    <t xml:space="preserve">              345,006.00</t>
  </si>
  <si>
    <t xml:space="preserve"> Prototipos/2024-06 </t>
  </si>
  <si>
    <t xml:space="preserve"> Resinas Colores y Compuestos S.A de C.V. </t>
  </si>
  <si>
    <t xml:space="preserve"> Plásticos </t>
  </si>
  <si>
    <t xml:space="preserve"> Desarrollo de piezas porosas prototipo de UHMWPE para aromatizantes fabricadas por el proceso de sinterizado térmico”. </t>
  </si>
  <si>
    <t xml:space="preserve"> San Mateo Atenco </t>
  </si>
  <si>
    <t xml:space="preserve"> José Antonio de León Gomez Maqueo, Jonathan Godínez Hernández, Abraham Shabot Saade </t>
  </si>
  <si>
    <t xml:space="preserve"> 722-216-9364 ext. 202 y 722-216-9364 ext. 235 y 722-216-9364 ext. 205 </t>
  </si>
  <si>
    <t xml:space="preserve"> Antonio.deleon@polisol.com.mx,Jefe.id@rccmex.com.mx, Abraham.shabot@rccmex.com.mx </t>
  </si>
  <si>
    <t xml:space="preserve"> Obtener piezas prototipo de de UHMWPE con un porcentaje de porosidad controlado y repetible, con una capacidad de capilaridad controlada. </t>
  </si>
  <si>
    <t xml:space="preserve"> Prototipos/2024-02/08 </t>
  </si>
  <si>
    <t xml:space="preserve"> Salvador Vega Salinas </t>
  </si>
  <si>
    <t xml:space="preserve"> Desarrollo de prototipo de extrusora de tubo de PVC rígido cédula 40 para tubos sifón de extintores </t>
  </si>
  <si>
    <t xml:space="preserve"> Tlalnepantla </t>
  </si>
  <si>
    <t xml:space="preserve"> Adrián Josafat Cruz-Prieto Pérez, Salvador Vega Salinas, Adriana Vega San Martin </t>
  </si>
  <si>
    <t xml:space="preserve"> 55 3999 1632, 55 1013 0036, 5517327830 </t>
  </si>
  <si>
    <t xml:space="preserve"> salvador.vega@desarrolloycomponentesindustriales.com,
ingsalvadorvega@yahoo.com.mx, adrian.cruzprieto@desarrolloycomponentesindustriales.com, Adriana.vega@desarrolloycomponentesindustriales.com </t>
  </si>
  <si>
    <t xml:space="preserve"> Desarrollo de prototipo de extrusora de tubo de PVC rígido cédula 40 con capacidad de fabricación de
hasta 625 kg por hora para tubos de descarga de extintores de diferentes aplicaciones </t>
  </si>
  <si>
    <t xml:space="preserve">                125,000.00</t>
  </si>
  <si>
    <t xml:space="preserve">             425,000.00</t>
  </si>
  <si>
    <t xml:space="preserve"> Prototipos/2024-02/09 </t>
  </si>
  <si>
    <t xml:space="preserve"> Ricardo Axel Cruz García </t>
  </si>
  <si>
    <t xml:space="preserve"> Implementación de planta de compostaje, pasteurización y reproducción para la elaboración de bolsa inoculada de hongos comestibles. </t>
  </si>
  <si>
    <t xml:space="preserve"> Ixtlahuaca </t>
  </si>
  <si>
    <t xml:space="preserve"> Ricardo Axel Cruz García, Mariana Itzel Victoriana Salasar, Rocio Viviana Ruiz Gutierrez </t>
  </si>
  <si>
    <t xml:space="preserve"> 712 1990 0363, 712 1524 679, 712 1413 788 </t>
  </si>
  <si>
    <t xml:space="preserve"> cruzricado86@gail.com, mariid100713@gmail.com, hongosmasshoma@gmail.com </t>
  </si>
  <si>
    <t xml:space="preserve"> Implementar procesos de producción que permita reducir los riegos de contaminación y merma de materia prima en el cultivo de hongos </t>
  </si>
  <si>
    <t xml:space="preserve">               100,000.00</t>
  </si>
  <si>
    <t xml:space="preserve">             400,000.00</t>
  </si>
  <si>
    <t>1,765,006,00</t>
  </si>
  <si>
    <t xml:space="preserve">             575,000.00</t>
  </si>
  <si>
    <t>2,340,006,00</t>
  </si>
  <si>
    <t>PROTOTIPOS COMECYT 2025</t>
  </si>
  <si>
    <t xml:space="preserve"> Prototipos/2025/01 </t>
  </si>
  <si>
    <t xml:space="preserve"> Regina Rodríguez Sosa </t>
  </si>
  <si>
    <t xml:space="preserve"> Manufactura </t>
  </si>
  <si>
    <t xml:space="preserve"> Diseño y fabricación de impresora 3d hibrida. </t>
  </si>
  <si>
    <t xml:space="preserve"> Tultepec </t>
  </si>
  <si>
    <t xml:space="preserve"> Regina Rodriguez Sosa, Luis Arturo Aguilar Rodriguez, Judith Areli Villalobos Hidalgo </t>
  </si>
  <si>
    <t xml:space="preserve"> 56 1997 3905, 55  7854 4286, 55 9169 9446 </t>
  </si>
  <si>
    <t xml:space="preserve"> de127voltz@gmail.com, luis.127voltz@gmail.com, judith_contabilidad@hotmail.com </t>
  </si>
  <si>
    <t xml:space="preserve"> Diseñar y fabricar una impresora 3D Hibrida con doble extructor capaz de imprimir en filamento y pellet piezas mecanicas 3D de precisión para la indutria automotriz con polimeros reciclados </t>
  </si>
  <si>
    <t xml:space="preserve"> EN DESARROLLO DE LA PRIMERA   ETAPA </t>
  </si>
  <si>
    <t xml:space="preserve"> Prototipos/2025/02 </t>
  </si>
  <si>
    <t xml:space="preserve"> Soluciones Integrales para diabetes de México DINSO-MX, SAPI, de C.V </t>
  </si>
  <si>
    <t xml:space="preserve"> Prototipo de dispositivo médico para el acarreo y liberación controlada de antibióticos para el tratamiento de osteomielitis.  </t>
  </si>
  <si>
    <t xml:space="preserve"> Lerma </t>
  </si>
  <si>
    <t xml:space="preserve"> Juan Manuel Alvarado, jennifer Andrea Hermann Muñoz </t>
  </si>
  <si>
    <t xml:space="preserve"> 44 2204 3984, 44 2320 8850 </t>
  </si>
  <si>
    <t xml:space="preserve"> juan.alvarado@dinso.mx, jmao071281@gmail.com, jennifer.hermann@dinso.mx, jhermann128@gmail.com </t>
  </si>
  <si>
    <t>Desarrollar un prototipo funcional de la tecnología AH-Bone, basada en silicofosfatos de sodio-calcio mesoporoso, específicamete orientado al acarreo y liberación controlada de fármacos para el tratamiento local de la osteomielitis. Este desarrollo contemplo el disño de una ruta de producción a baja escala y la demostración de su capacidad técnica.</t>
  </si>
  <si>
    <t xml:space="preserve"> Prototipos/2025/05 </t>
  </si>
  <si>
    <t xml:space="preserve"> BEETZABE ROSADO FLORES </t>
  </si>
  <si>
    <t xml:space="preserve"> Desarrollo de un Sistema de Gestión de proyectos de desarrollo tecnológico </t>
  </si>
  <si>
    <t xml:space="preserve"> Tultitlan </t>
  </si>
  <si>
    <t xml:space="preserve"> BEETZABE ROSADO FLORES, Norma Angelica Rodriguez Reyna </t>
  </si>
  <si>
    <t xml:space="preserve"> 55 7112 3717, 55 6419 2660 </t>
  </si>
  <si>
    <t xml:space="preserve"> beeet13gm@gmail.com, angelicareyna4444@gmail.com </t>
  </si>
  <si>
    <t>Desarrollar una plataforma digital integral, en versiones web y móvil, orientada a la administración y seguimiento de proyectos de base tecnológica, que integre la metodología de los Niveles de Madurez Tecnológica TRL (Technology Readiness Levels) con el propósito de facilitar la evaluación estructurada del progreso de los proyectos de base tecnológica, optimizar la gestión de recursos y acelerar la transición de tecnologías hacia su comercialización o implementación final.</t>
  </si>
  <si>
    <t xml:space="preserve"> Prototipos/2025/08 </t>
  </si>
  <si>
    <t xml:space="preserve"> Noemí Ángeles Ortega </t>
  </si>
  <si>
    <t>Plásticos</t>
  </si>
  <si>
    <t>Desarrollo de Innovaciones Tecnológicas en pigmentos utilizados en la manufactura y la industria plástica de uso indirecto con alimentos bajo normas de máxima reglamentación internacional, a través de prototipos especializados y el fortalecimiento del laboratorio de pruebas de la empresa</t>
  </si>
  <si>
    <t>Chimalhuacan</t>
  </si>
  <si>
    <t>Noemi Ángeles Ortega, Oscar Daniel Munguía Ángeles</t>
  </si>
  <si>
    <t>55 2541 9955, 55 4382 0536</t>
  </si>
  <si>
    <t>ao.noemi@gmail.com, tic_contacto@yahoo.com</t>
  </si>
  <si>
    <t>Desarrollar  Innovaciones Tecnológicas en pigmentos utilizados en la manufactura y la industria plástica de uso indirecto con alimentos bajo normas de máxima reglamentación internacional, a través de prototipos especializados y el fortalecimiento del laboratorio de pruebas de la empresa.</t>
  </si>
  <si>
    <t>1,200,000,00</t>
  </si>
  <si>
    <t>360,000,00</t>
  </si>
  <si>
    <t>1,560,000,00</t>
  </si>
  <si>
    <t>3,365,006,00</t>
  </si>
  <si>
    <t>1,055,000,00</t>
  </si>
  <si>
    <t>4,420,006,00</t>
  </si>
  <si>
    <t xml:space="preserve">VINCULACIÓN </t>
  </si>
  <si>
    <t xml:space="preserve">REPRESENTANTE LEGAL </t>
  </si>
  <si>
    <t>RESPONSABLE TECNICO</t>
  </si>
  <si>
    <t>RESPONSABLE ADMINISTRATIVO</t>
  </si>
  <si>
    <t>VIN/2024/01</t>
  </si>
  <si>
    <t>Santul Herramientas, S.A. de C.V.</t>
  </si>
  <si>
    <t xml:space="preserve">TECNOLOGICO DE ESTUDIOS SUPERIORES DE MONTERREY </t>
  </si>
  <si>
    <t>Plástico.Manufactura</t>
  </si>
  <si>
    <t>Fabricación de casco de protección eco-consciente</t>
  </si>
  <si>
    <t xml:space="preserve">Juan Martin Reyes Sevilla </t>
  </si>
  <si>
    <t>martin.reyes@santul.net</t>
  </si>
  <si>
    <t>Cristian Adrian Arreguin Hernandez</t>
  </si>
  <si>
    <t>cristian.arreguin@santul.net</t>
  </si>
  <si>
    <t>Leobardo Cuevas castro</t>
  </si>
  <si>
    <t>leobardo.cuevas@santul.net</t>
  </si>
  <si>
    <t>Desarrollo de un casco de protección ECO-CONSCIENTE, fabricado a partir de polimeros 100%reciclados y reciclables, con el fin de disminuir en un 90% el consumo de materias primas virgenes para fabricación de este producto, en la planta de producción de la empresa Santul Herramientas S.A. de C.V.</t>
  </si>
  <si>
    <t>•	Reporte Final
•	Comité de asignación
•	Acta de Cierre
omité de asignación, Acta de CIerre</t>
  </si>
  <si>
    <t>VIN/2024/03</t>
  </si>
  <si>
    <t xml:space="preserve">Magana, S.A. de C.V. </t>
  </si>
  <si>
    <t>CIATEQ ESTADO DE MÉXICO</t>
  </si>
  <si>
    <t>Automotriz, Manufactura</t>
  </si>
  <si>
    <t>Celda de manufactura para textiles de la industria automotriz</t>
  </si>
  <si>
    <t>Andrea Reyes Trigos</t>
  </si>
  <si>
    <t>direccion@mgn.mx</t>
  </si>
  <si>
    <t>José Javier Mejia Pavón</t>
  </si>
  <si>
    <t>javiermejia77@hotmail.com</t>
  </si>
  <si>
    <t>Renato Martinez Montenegro</t>
  </si>
  <si>
    <t>ventas@mgn.mx</t>
  </si>
  <si>
    <t>Desarrollo de una celda de Manufactura capaz de integrar todos los procesos de manufactura requeridos por la industria automotriz para transformar materia prima textil en rollo a productos terminados listos para OEM o Tier1</t>
  </si>
  <si>
    <t xml:space="preserve">•	Evaluación Financiera Etapa 1
Documente del Evaluador donde solicita reembolso.
•	Reporte Final
•	Comité de asignación
•	Acta de Cierre
</t>
  </si>
  <si>
    <t>VIN/2024/06</t>
  </si>
  <si>
    <t>ADS Mexicana, S.A. de C.V.</t>
  </si>
  <si>
    <t>Validación de la resistencia química de un material prototipo base polietileno de alta densidad (virgen + reciclado) formulado para la elaboración de tuberías de flujo a gravedad para aguas residuales y/o pluviales</t>
  </si>
  <si>
    <t>Jilotepec</t>
  </si>
  <si>
    <t>Elsa Erika Perez Aguirre</t>
  </si>
  <si>
    <t>8186254500 EXT 4680</t>
  </si>
  <si>
    <t>elsa.perez@adsmexicana.com</t>
  </si>
  <si>
    <t>José Efraín Zárate Vazquez</t>
  </si>
  <si>
    <t>jose.zarate@adsmexicana.com</t>
  </si>
  <si>
    <t>Nestor Alejandro Martinez Chavira</t>
  </si>
  <si>
    <t>nestor.martinez@adsmexicana.com</t>
  </si>
  <si>
    <t xml:space="preserve">Validacion de la resistencia quimica y la degradación acelerada de un material base en polietileno de alta densidad que contenga material reciclado post consumo que se utilizara en la elaboración de tubos corrugados aptos para aplicaciones de drenaje sanitario a gravedad a nivel planta piloto con diametros comerciales que cumplam los requisitos de desempeño y normativos. </t>
  </si>
  <si>
    <t xml:space="preserve">•	Evaluación Financiara Etapa 1, donde hacen observaciones al Reporte Financiero
•	Falta subsanar ya que se realizan Observaciones financieras Etapa 2
•	Reporte Final
•	Comité de asignación
•	Acta de Cierre
</t>
  </si>
  <si>
    <t>VIN/2024/07</t>
  </si>
  <si>
    <t>Equiposyahn, S. de R.L de C.V.</t>
  </si>
  <si>
    <t xml:space="preserve">CENTRO PARA EL DESARROLLO  DE LA INNOVACIÓN Y LA INVESTIGACIÓN INDUSTRIAL </t>
  </si>
  <si>
    <t>Desarrollo de ingeniería para la implementación de un brazo robótico con un actuador lineal para su traslado longitudinal</t>
  </si>
  <si>
    <t xml:space="preserve">Guillermo Vazquez Camarena </t>
  </si>
  <si>
    <t>equiposyahn@gmail.com</t>
  </si>
  <si>
    <t>Andrea Montserrat Diosdado Reyes</t>
  </si>
  <si>
    <t>m.diosdado@equiposyahn.com</t>
  </si>
  <si>
    <t>Implementación de un sistema de automatización mediante el uso  de un actuador eléctrico en conjunto con un brazo robótico, con el próposito de optimizar los procesos de traslado de objetos entre dos estaciones de tranajo, con el objetivo de reducir el tiempo empleado en dichas tareas y mejorar la eficiencia operativa del sistema.</t>
  </si>
  <si>
    <t xml:space="preserve">•	Oficios de invitación Comité 
•	Reporte Final
•	Comité de asignación
•	Acta de Cierre
</t>
  </si>
  <si>
    <t>Industrias Marrob, S.A. de C.V.</t>
  </si>
  <si>
    <t>Método de separación y selección automatizado para materiales mediante técnica de captura de imagen avanzada</t>
  </si>
  <si>
    <t>Talento Visible, S.A. de C.V.</t>
  </si>
  <si>
    <t>Mente Conecta / Terminación Anticipada</t>
  </si>
  <si>
    <t>Nezahualcoyotl</t>
  </si>
  <si>
    <t>Incorporación de Profesionistas para el Fortalecimiento Empresarial COMECYT</t>
  </si>
  <si>
    <t>PROYECTO</t>
  </si>
  <si>
    <t>APOYO ECONÓNICO</t>
  </si>
  <si>
    <t>VIGENCIA</t>
  </si>
  <si>
    <t>CONTACTO</t>
  </si>
  <si>
    <t>OBSERVACIONES</t>
  </si>
  <si>
    <t>No.</t>
  </si>
  <si>
    <t>SECTOR</t>
  </si>
  <si>
    <t>MODALIDAD</t>
  </si>
  <si>
    <t>PROFESIONISTA EXPERTO</t>
  </si>
  <si>
    <t>APOYO COMECYT</t>
  </si>
  <si>
    <t>CONCURRENTE</t>
  </si>
  <si>
    <t>TOTAL PROYECTO</t>
  </si>
  <si>
    <t>DURACIÓN</t>
  </si>
  <si>
    <t xml:space="preserve">FIRMA CONVENIO </t>
  </si>
  <si>
    <t>GARANTÍA DE CUMPLIENTO</t>
  </si>
  <si>
    <t>DIRECCIÓN</t>
  </si>
  <si>
    <t>NOMBRE</t>
  </si>
  <si>
    <t xml:space="preserve">CORREO ELECTRÓNICO </t>
  </si>
  <si>
    <t>DESCRIPCIÓN DEL PROYECTO</t>
  </si>
  <si>
    <t>IPFE/2024-02/03</t>
  </si>
  <si>
    <t>KREAT SOLUTIONS 45 S.A. de C.V.</t>
  </si>
  <si>
    <t>ElectraEco Eficiencia Energética Mexicana.</t>
  </si>
  <si>
    <t>Desarrollo Sustentable / TIC´S</t>
  </si>
  <si>
    <t xml:space="preserve">Incorporación de Profesionistas. </t>
  </si>
  <si>
    <t>Ing. Omar Espinoza Castro.</t>
  </si>
  <si>
    <t>$126,000.00</t>
  </si>
  <si>
    <t>$54,000.00</t>
  </si>
  <si>
    <t>$180,000.00</t>
  </si>
  <si>
    <t>12 MESES</t>
  </si>
  <si>
    <t>Pagaré</t>
  </si>
  <si>
    <t>Rodolfo Soto Cordero # 105 segundo piso, Colonia San Bernardino.</t>
  </si>
  <si>
    <t xml:space="preserve">Toluca </t>
  </si>
  <si>
    <t>Ing. Oscar Carmona Rojas</t>
  </si>
  <si>
    <t>oscar.carmona@cmx360.com.mx</t>
  </si>
  <si>
    <t xml:space="preserve">Vigente, 2da etapa </t>
  </si>
  <si>
    <t xml:space="preserve">Implementar un sistema integral para controlar, administrar y aprovechar la energía de manera sostenible y eficiente en el Estado de México, con el objetivo de logar un ahorro en las necesidades ehnergéticas del estado, al mismo tiempo que se minimiza el impacto ambiental y se fomenta la seguridad energética y el desarrollo económico. </t>
  </si>
  <si>
    <t>IPFE/2024-02/06</t>
  </si>
  <si>
    <t>Grupo Industrial Polisol S.A. de C.V.</t>
  </si>
  <si>
    <t>Desarrollo de la tecnología de formulación, proceso de fabricación y comercialización de compuestos de PVC rígido y flexible para fabricación de piezas eléctricas.</t>
  </si>
  <si>
    <t>Plásticos/Manufactura</t>
  </si>
  <si>
    <t>Atracción de Expertos</t>
  </si>
  <si>
    <t>Mtro. Jonathan Godínez Hernández.</t>
  </si>
  <si>
    <t>$504,000.00</t>
  </si>
  <si>
    <t>$216,000.00</t>
  </si>
  <si>
    <t>$720,000.00</t>
  </si>
  <si>
    <t xml:space="preserve">Av. Independencia 103, Col. Reforma </t>
  </si>
  <si>
    <t>I.Q. Héctor Adrian Barrera Rodriguez</t>
  </si>
  <si>
    <t>asistente.investigacion@rccmex.com.mx</t>
  </si>
  <si>
    <t>(722) 216 9364 ext 235 y 246</t>
  </si>
  <si>
    <t>Desarrollar una tecnología de formulación, proceso de fabricación de compuestos de PVC rígido dureza shore D75 y flexible dureza shore 465, a base de formulaciones térmicas, útil para fabricar piezas eléctricas que cumplan con los estándares y regulaciones de inflamabilidad, contribuyendo a la economía circular minimizando el impacto ambiental.</t>
  </si>
  <si>
    <t>Dr. Javier Revilla Vázquez.</t>
  </si>
  <si>
    <t>IPFE/2024-02/07</t>
  </si>
  <si>
    <t>Grupo Aelectronics de México SA de CV.</t>
  </si>
  <si>
    <t>Diseño, desarrollo de biomateriales y manufactura de una plataforma modular de construcción de Prótesis y Exoesqueletos con base en metodologías STEM para alumnos de bioingeniería.</t>
  </si>
  <si>
    <t>Dr. Luis Adrián Zúñiga Avilés.</t>
  </si>
  <si>
    <t>$882,000.00</t>
  </si>
  <si>
    <t>$378,000.00</t>
  </si>
  <si>
    <t>$1,260,000.00</t>
  </si>
  <si>
    <t>Blvr. José María Morelos y Pavón #208, Colonia Santa Clara.</t>
  </si>
  <si>
    <t>Ing. Jonathan Arriaga Estévez</t>
  </si>
  <si>
    <t>jonathan.arriaga@a-electronics.com.mx</t>
  </si>
  <si>
    <t xml:space="preserve"> 722 350 2553</t>
  </si>
  <si>
    <t>Diseñar y manufacturar una plataforma modular de construcción de prótesis y exoesqueletos, realizando la caracterización, análisis y desarrollo de biomateriales con base en herramientas pedagógicas STEM para la generación de habilidades de desarrollo de dispositivos médicos en alumnos de bioingeniería médica.</t>
  </si>
  <si>
    <t>Dra. Sonia Rojas Carbajal.</t>
  </si>
  <si>
    <t>Dra. Natalia Gómez Gast.</t>
  </si>
  <si>
    <t>IPFE/2024-02/08</t>
  </si>
  <si>
    <t>Extruchetos, S.A. de C.V.</t>
  </si>
  <si>
    <t xml:space="preserve">Diseño, diagnóstico documental, detección de necesidades de equipamiento, desarrollo de técnicas y asesoría para la acreditación de un laboratorio de pruebas bromatológicas y microbiológicas en la empresa Extruchetos S.A. de C.V. </t>
  </si>
  <si>
    <t>Alimentario</t>
  </si>
  <si>
    <t>Dr. Rodolfo Reynoso López</t>
  </si>
  <si>
    <t>$245,000.00</t>
  </si>
  <si>
    <t>$105,000.00</t>
  </si>
  <si>
    <t>$350,000.00</t>
  </si>
  <si>
    <t>10 MESES</t>
  </si>
  <si>
    <t>José Vicente Villada No. 13. Col Reforma</t>
  </si>
  <si>
    <t>Ing. María Guadalupe López Rivera</t>
  </si>
  <si>
    <t>proyectos.cariocas@gmail.com</t>
  </si>
  <si>
    <t>722 905 4088</t>
  </si>
  <si>
    <t>Vigente, 2da etapa</t>
  </si>
  <si>
    <t>Planeación de un laboratorio de análisis bromatológicos y microbiológicos de producto terminado, así como de materia prima, desde la perspectiva de diseño, selección de equipos de laboratorio, desarrollo de manuales de procedimientos, asesoría y acompañamiento en la certificación del laboratorio ante instancias nacionales.</t>
  </si>
  <si>
    <t>IPFE/2024-02/09</t>
  </si>
  <si>
    <t>Operadora Comercializadora Innovax S.A. de C.V.</t>
  </si>
  <si>
    <t>Certificación ISO9001 de Operadora Comercial Innovax S.A. de C.V. con herramientas manufactura 4.0</t>
  </si>
  <si>
    <t>Ing. Manuel Peralta Delgado</t>
  </si>
  <si>
    <t>$390,110.00</t>
  </si>
  <si>
    <t>$167,190.00</t>
  </si>
  <si>
    <t>$557,300.00</t>
  </si>
  <si>
    <t>Independecia No. 1311</t>
  </si>
  <si>
    <t>Ing. Luis Antonio Agapito de la Cruz</t>
  </si>
  <si>
    <t>sistemas@innovax.com.mx</t>
  </si>
  <si>
    <t>722-5465507</t>
  </si>
  <si>
    <t xml:space="preserve">Estandarizar los diseños a través de la certificación ISO9001, con el objetivo de reducir costos, desperdicios, así como mayor control y efectividad en los procesos de producción. </t>
  </si>
  <si>
    <t>IPFE/2024-02/011</t>
  </si>
  <si>
    <t>Hexatron S.A. de C.V.</t>
  </si>
  <si>
    <t xml:space="preserve"> Transición energética</t>
  </si>
  <si>
    <t>Desarrollo sustentable / TICS</t>
  </si>
  <si>
    <t>Ing. Francisco Javier López Saldivar</t>
  </si>
  <si>
    <t>Calle Rodolfo Soto número 105, Interior Tercer piso, Colonia San Bernardino.</t>
  </si>
  <si>
    <t>Lic. Raúl Phillips Madrid</t>
  </si>
  <si>
    <t>raul.phillips@cmx360.com.mx</t>
  </si>
  <si>
    <t>Establecer una metodología clara y preceisa que verifique el cumplimiento de los estándares del Código de Red, garantizando el cumplimiento de los requisitos en la resolución RES/550/2021, del Manual Regulatoriode Requerimientos Técnicos para la Conexión de Centros de Carga (MRRTCCC)</t>
  </si>
  <si>
    <t>IPFE/2025/01</t>
  </si>
  <si>
    <t>Correlación de propiedades mecánicas con parámetros reológicos para un polietileno de alta densidad.</t>
  </si>
  <si>
    <t>Incorporación de Profesionistas</t>
  </si>
  <si>
    <t>Ing. Adriana Nohemí Núñez López</t>
  </si>
  <si>
    <t>Calle parque 10, Col. Parque Industrial.</t>
  </si>
  <si>
    <t>Ing. Daniel Velarde Pérez</t>
  </si>
  <si>
    <t>daniel.velarde@adsmexicana.com</t>
  </si>
  <si>
    <t>Vigente, 1ra etapa</t>
  </si>
  <si>
    <t xml:space="preserve">Desarrollo de un método de prueba de laboratorio utilizando un reómetro de torque, a partir de la cula se puedan obtener las estimaciones de las propiedades mecánicas del material con suficiente precisión para cubrir las necesidades del proceso de aseguramiento de calidad. </t>
  </si>
  <si>
    <t>IPFE/2025/02</t>
  </si>
  <si>
    <t>UINIK TECHNOLOGIES, S.A. de C.V.</t>
  </si>
  <si>
    <t>Plataforma Web para la Búsqueda Técnica de Productos y la Gestión Integral de Ensayos No Destructivos (END) Aplicada al Sector Manufacturero</t>
  </si>
  <si>
    <t>Manufactura / TICs</t>
  </si>
  <si>
    <t>Atracción Temporal de Expertos</t>
  </si>
  <si>
    <t xml:space="preserve">Ing. Alan Hernández López </t>
  </si>
  <si>
    <t>$420,000.00</t>
  </si>
  <si>
    <t>$600,000.00</t>
  </si>
  <si>
    <t>José Vicente Villada no. 6, San Cayetano Morelos</t>
  </si>
  <si>
    <t>Ing. David Isaías Jaimes Reyes</t>
  </si>
  <si>
    <t>djaimesr774@gmail.com</t>
  </si>
  <si>
    <t>722 360 9343</t>
  </si>
  <si>
    <t>Desarrollo e implementación de una plataforma web especializada en el ámbito de los Ensayos No Destructivos (END), mejorando la eficiencia técnica, cumplimiento normativo y de capacida de respuesta operativa, promoviendo una
transformación tecnológica real en un sector crítico.</t>
  </si>
  <si>
    <t>CONVOCATORIA 2025-02</t>
  </si>
  <si>
    <t>Beneficiarios por programa y convocatoria, 2017 - 2025</t>
  </si>
  <si>
    <t>Programa</t>
  </si>
  <si>
    <t>Convocatoria</t>
  </si>
  <si>
    <t>Beneficiario</t>
  </si>
  <si>
    <t>Municipio</t>
  </si>
  <si>
    <t>Proyecto</t>
  </si>
  <si>
    <t>Monto establecido en el CAR (pesos)</t>
  </si>
  <si>
    <t>Prototipos</t>
  </si>
  <si>
    <t>2017-01</t>
  </si>
  <si>
    <t>Raúl Tapia Rico</t>
  </si>
  <si>
    <t>Sistema innovador de blocks ensamblables</t>
  </si>
  <si>
    <t>498,161.00</t>
  </si>
  <si>
    <t>Soluciones y Tecnologías Biomédicas, S.A. de C.V.</t>
  </si>
  <si>
    <t>Protector antiadherente biodinámico (P.A.B.)</t>
  </si>
  <si>
    <t>491,986.80</t>
  </si>
  <si>
    <t>GDEG Toling &amp; Manufacturing, S.A. de C.V.</t>
  </si>
  <si>
    <t>Mecanismo de resorte para el arrastre de tela en el proceso de soldadura por ultrasonido</t>
  </si>
  <si>
    <t>495,000.00</t>
  </si>
  <si>
    <t>2017-02</t>
  </si>
  <si>
    <t>Raúl Segura Cruz</t>
  </si>
  <si>
    <t xml:space="preserve">Resina copolímero alquidal estirenada baja de VOC´s </t>
  </si>
  <si>
    <t>500,000.00</t>
  </si>
  <si>
    <t xml:space="preserve">Higia Innovation, S.A. de C.V. </t>
  </si>
  <si>
    <t>Apaxco</t>
  </si>
  <si>
    <t xml:space="preserve">Clínica digital de nutrición </t>
  </si>
  <si>
    <t>Provatec</t>
  </si>
  <si>
    <t>M-Arcos &amp; M-Arcos, S.A. de C.V.</t>
  </si>
  <si>
    <t>Mejora al proceso de valorización y transformación de poliestireno expandido post industrial y post consumo</t>
  </si>
  <si>
    <t>1,500,000.00</t>
  </si>
  <si>
    <t>Agroproductores Laraflor, S.C. de P. de R.L de C.V.</t>
  </si>
  <si>
    <t>Validación y mejoramiento de un sistema para el desprendimiento de hojas y espinas de tallos de rosa bajo esquema sustentable</t>
  </si>
  <si>
    <t>Plásticos PAO, S.A de C.V.</t>
  </si>
  <si>
    <t>Luminarias de Led de alta eficiencia en corrientes directa y alterna con aplicaciones hibridas, solares y eólicas</t>
  </si>
  <si>
    <t>1,460,000.00</t>
  </si>
  <si>
    <t>Aplicaciones Industriales de Calidad, S.A. de C.V.</t>
  </si>
  <si>
    <t>Escalamiento industrial y desarrollo de plan de lanzamiento al mercado del sistema de dimensionamiento LED para la medición de alta precisión de piezas maquinadas CNC</t>
  </si>
  <si>
    <t>853,178.00</t>
  </si>
  <si>
    <t>Productora y Comercializadora Agrícola Rote Tomate, S.C. de R.L. de C.V.</t>
  </si>
  <si>
    <t>Villa de Allende</t>
  </si>
  <si>
    <t>Escalamiento y validación de triturador de granos pre-cocidos MZ1 para la generación de masa en la industria tortillera</t>
  </si>
  <si>
    <t>1,950,000.00</t>
  </si>
  <si>
    <t>Grupo Arzaluz, S.A. de C.V.</t>
  </si>
  <si>
    <t>Huixquilucan</t>
  </si>
  <si>
    <t>Escalamiento de alimento enriquecido para la industria Cunícola</t>
  </si>
  <si>
    <t>1,840,000.00</t>
  </si>
  <si>
    <t>Laboratorios Tornel, S.A.</t>
  </si>
  <si>
    <t xml:space="preserve">Naucalpan </t>
  </si>
  <si>
    <t>Implementación de un sistema de producción a gran escala para la fabricación de una vacuna termo-sensible a partir de cepas aisladas en México contra el virus de Rinotraqueitis Infecciosa Bovina (IBRV) para su aplicación vía intra-nasal</t>
  </si>
  <si>
    <t>1,494,000.00</t>
  </si>
  <si>
    <t>Focacyte</t>
  </si>
  <si>
    <t>Bambuterra, S.A.P.I. de C.V.</t>
  </si>
  <si>
    <t>Naucalpan</t>
  </si>
  <si>
    <t>Diseño de un secador híbrido (solar-biomasa) para el secado eficiente de culmos de bambú leñoso de especies producidas en México</t>
  </si>
  <si>
    <t>222,000.00</t>
  </si>
  <si>
    <t>Manual de prediseño estructural con bambúes rollizos mexicanos</t>
  </si>
  <si>
    <t>120,000.00</t>
  </si>
  <si>
    <t>Ford Motor Company, S.A. de C.V.</t>
  </si>
  <si>
    <t>Desarrollo de un protocolo de comunicación y sus requerimientos funcionales para el monitoreo de las baterías de alto voltaje en vehículos híbridos y eléctricos</t>
  </si>
  <si>
    <t>55,000.00</t>
  </si>
  <si>
    <t>Desarrollo del método optimizado para el cálculo de rigidez dinámica para soportes del tren motriz</t>
  </si>
  <si>
    <t>59,450.00</t>
  </si>
  <si>
    <t>Vinculación</t>
  </si>
  <si>
    <t>Tecnica Medical, S.A. de C.V.</t>
  </si>
  <si>
    <t>Validación de propiedades coagulantes y antimicrobianas de gasas y desarrollo de una planta piloto para su fabricación</t>
  </si>
  <si>
    <t>3,915,000.00</t>
  </si>
  <si>
    <t>Ecos Iluminación México, S.A. de C.V.</t>
  </si>
  <si>
    <t>Luminaria led de alumbrado público inteligente, sustentable y adaptativo al flujo vehicular y peatonal</t>
  </si>
  <si>
    <t>2,537,929.20</t>
  </si>
  <si>
    <t>Autotrionic Servicios, S.A. de C.V.</t>
  </si>
  <si>
    <t>Desarrollo de un sistema de monitoreo, control y adquisición de datos vía remota de los parámetros eléctricos de un generador de 400hz para aeronaves en tierra</t>
  </si>
  <si>
    <t>562,500.00</t>
  </si>
  <si>
    <t>SEI</t>
  </si>
  <si>
    <t>Distribuidora y Comercializadora San Andrés, S.A de C.V.</t>
  </si>
  <si>
    <t>Caracterización biológico - mecánica del pericardio de avestruz y sus aplicaciones en el diseño de dispositivos médicos</t>
  </si>
  <si>
    <t>1,975,925.00</t>
  </si>
  <si>
    <t>Sistema Aspirador de Humo Quirúrgico (SAHQ)</t>
  </si>
  <si>
    <t>1,997,951.90</t>
  </si>
  <si>
    <t>Krismar Computación Toluca, S. de R.L. de C.V.</t>
  </si>
  <si>
    <t>Robótica educativa para primaria</t>
  </si>
  <si>
    <t>1,852,200.00</t>
  </si>
  <si>
    <t>Ziklum, S.A. de C.V.</t>
  </si>
  <si>
    <t>Acolman</t>
  </si>
  <si>
    <t>Diseño y desarrollo de tecnología de proceso para limpieza y depuración de celulosa 100% reciclada, proveniente de envases multicapa de desecho, para la generación de materia prima para la producción de papel tissue</t>
  </si>
  <si>
    <t>2,000,000.00</t>
  </si>
  <si>
    <t>US Technologies, S.A. de C.V.</t>
  </si>
  <si>
    <t>Desarrollo a nivel laboratorio y planta piloto de un biolubricante aprovechando aceites animales y vegetales residuales</t>
  </si>
  <si>
    <t>1,530,621.57</t>
  </si>
  <si>
    <t>Desarrollo a nivel laboratorio y planta piloto de un aditivo mejorador de ignición y combustión para diesel</t>
  </si>
  <si>
    <t>1,591,789.53</t>
  </si>
  <si>
    <t>Estevez.Jor Servicios, S.A. de C.V.</t>
  </si>
  <si>
    <t>"Mexing". Desarrollo, diseño, fabricación e innovación de un equipo empalmador de fibras ópticas por la técnica de fusión con creación 100% mexicana</t>
  </si>
  <si>
    <t>1,750,000.00</t>
  </si>
  <si>
    <t>Higia Innovation, S.A. de C.V.</t>
  </si>
  <si>
    <t>App de educación en diabetes</t>
  </si>
  <si>
    <t>Plantas Eléctricas México, S.A. de C.V.</t>
  </si>
  <si>
    <t xml:space="preserve">Prototipo de laboratorio inteligente para pruebas de desempeño de grupos electrógenos (IoT) </t>
  </si>
  <si>
    <t>Bernardo Camacho Quiroz</t>
  </si>
  <si>
    <t xml:space="preserve">Horno a gas de tiro invertido especializado en alfarería y sistema de quema automatizados </t>
  </si>
  <si>
    <t>417,391.00</t>
  </si>
  <si>
    <t>Juan Manuel Jiménez González</t>
  </si>
  <si>
    <t>Diseño de compactadora de desperdicio industrial portátil</t>
  </si>
  <si>
    <t>400,000.00</t>
  </si>
  <si>
    <t>Comayeles, S.A. de C.V.</t>
  </si>
  <si>
    <t xml:space="preserve">Soportes plásticos biomimétricos para lechos bacterianos </t>
  </si>
  <si>
    <t>425,000.00</t>
  </si>
  <si>
    <t>TSA Trading, S.A. de C.V.</t>
  </si>
  <si>
    <t xml:space="preserve">Desarrollo de prototipo de innovación tecnologica en consumibles para cirugías de mínima invasión </t>
  </si>
  <si>
    <t>491,999.40</t>
  </si>
  <si>
    <t xml:space="preserve">Distribuciones Cantilever, S. de R.L. de C.V. </t>
  </si>
  <si>
    <t xml:space="preserve">Atizapán de Zaragoza </t>
  </si>
  <si>
    <t xml:space="preserve">Validación tecnológica y competitiva de un innovador prototipo de sistema remoto para gestión de acometidas eléctricas </t>
  </si>
  <si>
    <t>1,952,000.00</t>
  </si>
  <si>
    <t>Rheomod de México, S.A.P.I. de C.V.</t>
  </si>
  <si>
    <t xml:space="preserve">Validación de nuevos materiales poliméricos de bajo costo para sustituir poliuretanos termoplásticos en el mercado de artículos para animales  </t>
  </si>
  <si>
    <t>1,759,000.00</t>
  </si>
  <si>
    <t xml:space="preserve">Rase Proyectos Productivos, S.A. de C.V. </t>
  </si>
  <si>
    <t>Escalamiento industrial para la fabricación de mármol y granito culturado mediante proceso polimérico híbrido Zero VOC´S</t>
  </si>
  <si>
    <t>1,820,000.00</t>
  </si>
  <si>
    <t xml:space="preserve">Troqueles Engranes y Maquinados de Precisión, S.A. de C.V. </t>
  </si>
  <si>
    <t xml:space="preserve">Diseño y desarrollo de un molde único sin desperdicios de material, en la inyección de prensas para la fabricación de autopartes </t>
  </si>
  <si>
    <t xml:space="preserve">Agroservicios para el Campo Mexicano, S.A. de C.V. </t>
  </si>
  <si>
    <t xml:space="preserve">Validacion técnica y comercial de desgranador bioautomatizado y pulverizador de ocote de maíz para eficientar los procesos productivos en el sector agroalimentario </t>
  </si>
  <si>
    <t>1,875,000.00</t>
  </si>
  <si>
    <t xml:space="preserve">Comayeles, S.A. de C.V. </t>
  </si>
  <si>
    <t>Escalamiento de la producción de helechos con altas capacidades de remoción y acumulación de metales pesados</t>
  </si>
  <si>
    <t>901,000.00</t>
  </si>
  <si>
    <t>Grupo Empresarial Fitozoo, S.A. de C.V.</t>
  </si>
  <si>
    <t>Innovación y aplicación de tecnologías criogénicas como herramientas para la obtención y conservación de recursos fitogenéticos libres de microorganismos fitopatógenos</t>
  </si>
  <si>
    <t>240,000.00</t>
  </si>
  <si>
    <t>Guantes Internacionales, S.A. de C.V.</t>
  </si>
  <si>
    <t>Desarrollo de proceso industrial de impregnado polimérico con nitrilo microespumado aplicado en un guante de protección personal para uso en la industria automotriz</t>
  </si>
  <si>
    <t>345,000.00</t>
  </si>
  <si>
    <t>Centro de Investigación en Polímeros, S.A. de C.V.</t>
  </si>
  <si>
    <t>Síntesis de dispersantes poliméricos de alto desempeño libres de alquil fenoles etoxilados y de compuestos orgánicos volátiles base agua</t>
  </si>
  <si>
    <r>
      <t xml:space="preserve">Aislamiento y caracterización de fagos como control biológico de </t>
    </r>
    <r>
      <rPr>
        <i/>
        <sz val="9"/>
        <color rgb="FF000000"/>
        <rFont val="Arial"/>
        <family val="2"/>
      </rPr>
      <t>Streptomyces spp.</t>
    </r>
    <r>
      <rPr>
        <sz val="9"/>
        <color rgb="FF000000"/>
        <rFont val="Arial"/>
        <family val="2"/>
      </rPr>
      <t xml:space="preserve"> en papa (</t>
    </r>
    <r>
      <rPr>
        <i/>
        <sz val="9"/>
        <color rgb="FF000000"/>
        <rFont val="Arial"/>
        <family val="2"/>
      </rPr>
      <t>Solanum tuberosum</t>
    </r>
    <r>
      <rPr>
        <sz val="9"/>
        <color rgb="FF000000"/>
        <rFont val="Arial"/>
        <family val="2"/>
      </rPr>
      <t>)</t>
    </r>
  </si>
  <si>
    <t>567,683.70</t>
  </si>
  <si>
    <t>Industrial de Válvulas, S.A. de C.V.</t>
  </si>
  <si>
    <t>Síntesis de recubrimientos para cuerpos de válvulas aplicando la técnica electroless nickel plating y cumpliendo la norma ASTM B733</t>
  </si>
  <si>
    <t>Desarrollo de proceso de recubrimiento de asiento de válvulas por medio de la técnica HVOF</t>
  </si>
  <si>
    <t>Diseño y desarrollo del sistema generador eléctrico insonoro</t>
  </si>
  <si>
    <t>2,001,000.00</t>
  </si>
  <si>
    <t>Teckio Software, S.A. de C.V.</t>
  </si>
  <si>
    <r>
      <t>Microlaboratorio móvil 4.0 SHRIMP-LAB para cultivos de camarón blanco (</t>
    </r>
    <r>
      <rPr>
        <i/>
        <sz val="9"/>
        <color rgb="FF000000"/>
        <rFont val="Arial"/>
        <family val="2"/>
      </rPr>
      <t>Lotipenaeus</t>
    </r>
    <r>
      <rPr>
        <sz val="9"/>
        <color rgb="FF000000"/>
        <rFont val="Arial"/>
        <family val="2"/>
      </rPr>
      <t xml:space="preserve"> </t>
    </r>
    <r>
      <rPr>
        <i/>
        <sz val="9"/>
        <color rgb="FF000000"/>
        <rFont val="Arial"/>
        <family val="2"/>
      </rPr>
      <t>vannamei</t>
    </r>
    <r>
      <rPr>
        <sz val="9"/>
        <color rgb="FF000000"/>
        <rFont val="Arial"/>
        <family val="2"/>
      </rPr>
      <t>)</t>
    </r>
  </si>
  <si>
    <t>3,000,000.00</t>
  </si>
  <si>
    <t>Sistemas de Alta Ingeniería Industrial ABC, S.A. de C.V</t>
  </si>
  <si>
    <t>Turbina modular para aviones a escala no tripulados</t>
  </si>
  <si>
    <t>1,865,000.00</t>
  </si>
  <si>
    <t>Rase Proyectos Productivos, S.A. de C.V.</t>
  </si>
  <si>
    <t>Sistema de Fabricación limpia de Flooring Polimérico integral de última generación, altas especificaciones y bajo costo</t>
  </si>
  <si>
    <t>1,940,000.00</t>
  </si>
  <si>
    <t>Modelo educativo para la enseñanza de robótica y programación en escuelas del nivel medio</t>
  </si>
  <si>
    <t>1,578,500.00</t>
  </si>
  <si>
    <t>José Manuel Ontiveros Sánchez</t>
  </si>
  <si>
    <t>Desarrollo de herramientas por proceso de autofraguado para maquinaria pesada usada en la industria agroalimentaria para la extracción de rocas y el movimiento, nivelación y arado de tierras</t>
  </si>
  <si>
    <t>1,997,000.00</t>
  </si>
  <si>
    <t>Probamex, S.A. de C.V.</t>
  </si>
  <si>
    <t>Desarrollo de miel de abeja secada mediante sistema de aspersión</t>
  </si>
  <si>
    <t>1,960,000.00</t>
  </si>
  <si>
    <t>René Herrera Rosas</t>
  </si>
  <si>
    <t>Chicoloapan</t>
  </si>
  <si>
    <t>Desarrollo de un sistema predictivo de control para la producción agrícola en ambientes protegidos</t>
  </si>
  <si>
    <t>Proyectos y Obras con Protección Ambiental, S.A de C.V.</t>
  </si>
  <si>
    <t>Desarrollo de planta piloto para la extracción de queratina derivada de plumas de pollo</t>
  </si>
  <si>
    <t>E-Hawk Systems, S.A de C.V.</t>
  </si>
  <si>
    <t>Sistema de logística de traslado y distribución de vehículos automotrices</t>
  </si>
  <si>
    <t>1,975,000.00</t>
  </si>
  <si>
    <t>Accesos Sin Límite, S.A. de C.V.</t>
  </si>
  <si>
    <t>Sistema modular, portable y manual para sujeción, elevación y transferencia de personas en silla de ruedas a vehículos automotores para su transporte</t>
  </si>
  <si>
    <t>499,694.80</t>
  </si>
  <si>
    <t>FEG Innovación Tecnológica, S.A. de C.V.</t>
  </si>
  <si>
    <t>Desarrollo de un prototipo succionador automatizado para la extracción de leche materna (SUAPMA)</t>
  </si>
  <si>
    <t>489,800.00</t>
  </si>
  <si>
    <t>Armando Pimentel López</t>
  </si>
  <si>
    <t>Prototipo elevador adaptable a viviendas para personas con movilidad limitada</t>
  </si>
  <si>
    <t>470,000.00</t>
  </si>
  <si>
    <t>Degesch de México, S.A. de C.V.</t>
  </si>
  <si>
    <t>Desarrollo del producto mínimo viable de un equipo medidor de la concentración de gas fosfina, para asegurar la efectividad de la fumigación de bienes y productos agroalimentarios y la integridad de los operadores</t>
  </si>
  <si>
    <t>459,100.00</t>
  </si>
  <si>
    <t>Rema Solutions, S.A. de C.V.</t>
  </si>
  <si>
    <t>Desarrollo de un innovador prototipo de sistema modular de reforestación, riego auxiliar y aprovechamiento pluvial, adaptable a diferentes condiciones climáticas</t>
  </si>
  <si>
    <t>Juan Salinas Piliado</t>
  </si>
  <si>
    <t xml:space="preserve">Tenancingo </t>
  </si>
  <si>
    <t xml:space="preserve">Desarrollo de un prototipo de madera plástica basada en 95% de materiales reciclados  empleando subproductos generados de la carpintería y polietileno reciclado </t>
  </si>
  <si>
    <t>331,800.00</t>
  </si>
  <si>
    <t>Promotora Empresarial y Servicios Comerciales, S.A. de C.V.</t>
  </si>
  <si>
    <t>Sustitución de polímeros complejos para un empaque plástico sustentable</t>
  </si>
  <si>
    <t>1,621,100.00</t>
  </si>
  <si>
    <t>FQ Specialty Chemicals, S.A de C.V.</t>
  </si>
  <si>
    <t xml:space="preserve">Cuautitlán Izcalli </t>
  </si>
  <si>
    <t>Validación tecnológica y comercial de un agente de protección ultravioleta innovador basado en oxicloruro de bismuto</t>
  </si>
  <si>
    <t>Dufrei, S.A.P.I. de C.V.</t>
  </si>
  <si>
    <t>Validación de una innovadora plataforma tecnológica  para el transporte de hidrocarburos y compuestos químicos</t>
  </si>
  <si>
    <t>1,195,000.00</t>
  </si>
  <si>
    <t>Validación tecnológica y competitiva de un innovador dispositivo de conexión directa a transformadores de distribución para la administración y protección de conexiones eléctricas</t>
  </si>
  <si>
    <t>1,755,000.00</t>
  </si>
  <si>
    <t>NMS Moldes para Inyección de Plásticos, S.A. de C.V.</t>
  </si>
  <si>
    <t>Pruebas de validación tecnológica y competitiva de dos envases con innovadores sistemas de seguridad múltiple tipo Child-Resistant Package (CRP)</t>
  </si>
  <si>
    <t>Carolina Performance Fabrics, S.A. de C.V.</t>
  </si>
  <si>
    <t>Asesoría y capacitación para la implementación del SGC de acuerdo a la norma ISO/IEC:17025:2017 en el laboratorio químico textil</t>
  </si>
  <si>
    <t>111,360.00</t>
  </si>
  <si>
    <t>Segurintel, S.A. de C.V.</t>
  </si>
  <si>
    <t>Módulo para el análisis biofísico y reconocimiento de patrones de estrés de voz en llamadas telefónicas al Sistema de Atención de Emergencias (SADE): validación en laboratorio</t>
  </si>
  <si>
    <t>1,167,750.00</t>
  </si>
  <si>
    <t>Esteripharma, S.A. de C.V.</t>
  </si>
  <si>
    <t>Innovadora tecnología de microencapsulado, aplicada a soluciones electrolizadas de superoxidación (SES) con pH neutro</t>
  </si>
  <si>
    <t>1,327,500.00</t>
  </si>
  <si>
    <t>Stabilit Servicios, S.A. de C.V.</t>
  </si>
  <si>
    <t>Desarrollo de un proceso de tratamiento químico para el reciclado de resina poliéster termofija cargada con fibra de vidrio</t>
  </si>
  <si>
    <t>952,650.00</t>
  </si>
  <si>
    <t>Oxor, S.A. de C.V.</t>
  </si>
  <si>
    <t>Biocompuesto polimérico biodegradable con contenido de biomasa de microalgas para aplicaciones en artículos de un solo uso</t>
  </si>
  <si>
    <t>1,307,566.22</t>
  </si>
  <si>
    <t>Greenfluidics, S.A.S. de C.V.</t>
  </si>
  <si>
    <t>Biopanel para generación de energía eléctrica basado en fotosíntesis y nanofluidos</t>
  </si>
  <si>
    <t>1,827,847.58</t>
  </si>
  <si>
    <t>Redes</t>
  </si>
  <si>
    <t>Agropecuaria F.C., S.A. de C.V.</t>
  </si>
  <si>
    <t>Teotihuacan</t>
  </si>
  <si>
    <t>Desarrollo e implementación de un sistema biométrico para la detección de celo y enfermedades en ganado porcino</t>
  </si>
  <si>
    <t>1,276,000.00</t>
  </si>
  <si>
    <t>Armando Reyes Amador</t>
  </si>
  <si>
    <t>Robotización del manejo integrado de plagas y enfermedades en sistemas de agricultura protegida</t>
  </si>
  <si>
    <t>SACI Sistemas de Productividad, S.A.S. de C.V.</t>
  </si>
  <si>
    <t>Desarrollo de un sistema modular para huertos urbanos basado en fertirrigación</t>
  </si>
  <si>
    <t>1,089,942.01</t>
  </si>
  <si>
    <t>Desarrollo y evaluación de nuevas formulaciones potencialmente compostables para el mercado de piezas inyectadas y bolsas; validación de su compostabilidad mediante implementación de un método apegado a la norma internacional ISO 17088</t>
  </si>
  <si>
    <t>1,854,443.90</t>
  </si>
  <si>
    <t>Soluciones Ambientales Maclean, S.A. de C.V.</t>
  </si>
  <si>
    <t>Fabricación de un mecanismo modular y escalable que incremente la generación de energía a través de un diseño híbrido, que integra un sistema eólico y un fotovoltaico de seguimiento solar automatizado</t>
  </si>
  <si>
    <t>1,802,839.20</t>
  </si>
  <si>
    <t>Desarrollo de herramientas de corte frontal para tractores sobre orugas usadas en nivelación, preparación y limpieza de suelos</t>
  </si>
  <si>
    <t>1,386,000.00</t>
  </si>
  <si>
    <t>Rosas Gil Construcciones, S.A. de C.V.</t>
  </si>
  <si>
    <t>Diseño y manufactura para la producción de estructuras de góndolas usadas en teleféricos</t>
  </si>
  <si>
    <t>1,999,413.08</t>
  </si>
  <si>
    <t>Grupo Disma JIRE, S.A. de  C.V.</t>
  </si>
  <si>
    <t>Desarrollo e implementación de una metodología para el proceso de laminado en láminas acrílicas libres de imperfecciones en espesores de hasta 200 mm</t>
  </si>
  <si>
    <t>1,560,998.00</t>
  </si>
  <si>
    <t>2021-01</t>
  </si>
  <si>
    <t>Desarrollo de un bioplaguicida, como control de la pudrición blanda producida por Pectobacterium carotovorum en el cultivo de papa</t>
  </si>
  <si>
    <t>336,000.00</t>
  </si>
  <si>
    <t>2021-02</t>
  </si>
  <si>
    <t>Myriam Murillo García</t>
  </si>
  <si>
    <t>Desarrollo tecnológico de biorreactores para la micropropagación de Agave Salmiana (conocido como maguey pulquero)</t>
  </si>
  <si>
    <t>144,000.00</t>
  </si>
  <si>
    <t>Resinas Colores y Compuestos, S.A. de C.V.</t>
  </si>
  <si>
    <t>Desarrollo de la tecnología para la fabricación y comercialización de compuestos polimérico retardante a la flama libres de halógeno de PA66 y HDPE bajo el cumplimiento de la norma UL94-V0</t>
  </si>
  <si>
    <t>Desarrollo de la tecnología para la fabricación de concentrados líquidos de color para su aplicación en resina PET reciclada y la evaluación del impacto en las propiedades mecánicas</t>
  </si>
  <si>
    <t>288,000.00</t>
  </si>
  <si>
    <t>Fredy Wilfrido Romero Martínez</t>
  </si>
  <si>
    <t>Diseño y fabricación de un sistema de mantenimiento a ductería industrial de aire acondicionado</t>
  </si>
  <si>
    <t>384,000.00</t>
  </si>
  <si>
    <t>Rubén León Martínez</t>
  </si>
  <si>
    <t>Innovación en Frutihelados Lemarsa</t>
  </si>
  <si>
    <t>Sotec Lab, S.A. de C.V.</t>
  </si>
  <si>
    <t>Diseño, implementación y acreditación de un método analítico bajo la NMX-EC-17025-IMNC-2018 para la medición de espesores de tanques de almacenamiento de hidrocarburos (gasolina y diésel)</t>
  </si>
  <si>
    <t>Hermas Valores y Negocios, S.C.</t>
  </si>
  <si>
    <t>Digitalización del proceso para la certificación de un espacio libre de violencia de género</t>
  </si>
  <si>
    <t>912,000.00</t>
  </si>
  <si>
    <t>Desarrollo de la plataforma tecnológica para la digitalización del proceso para la certificación de un espacio libre de violencia de género</t>
  </si>
  <si>
    <t>672,000.00</t>
  </si>
  <si>
    <t>Gestión de los módulos de capacitación para la digitalización del proceso para la certificación de un espacio libre de violencia de género</t>
  </si>
  <si>
    <t>816,000.00</t>
  </si>
  <si>
    <t>Gestión del sistema documental para la digitalización del proceso para la certificación de un espacio libre de violencia de género</t>
  </si>
  <si>
    <t>Omega Reciclados, S.A. de C.V.</t>
  </si>
  <si>
    <t xml:space="preserve">Aprovechamiento de la biomasa residual del plátano macho (cáscara) para fabricación de película plástica biobasada </t>
  </si>
  <si>
    <t>700,000.00</t>
  </si>
  <si>
    <t>Nedox, S.A. de C.V.</t>
  </si>
  <si>
    <t>Desarrollo de un Sistema de Información Geográfica, capaz de ubicar y cuantificar las fallas y costos en la carpeta asfáltica de caminos y carreteras, para su mantenimiento</t>
  </si>
  <si>
    <t>1,110,000.00</t>
  </si>
  <si>
    <t>Traficiudad, S.A. de C.V.</t>
  </si>
  <si>
    <t xml:space="preserve">Desarrollo de un innovador prototipo de paso peatonal y reductor de velocidad con efecto tridimensional </t>
  </si>
  <si>
    <t>1,850,000.00</t>
  </si>
  <si>
    <t>Etapa final de desarrollo de un innovador sistema de purificación de agua a base de plata coloidal y otros componentes en esferas cerámicas de porosidad controlada</t>
  </si>
  <si>
    <t>Elite Reflex 2, S.A. de C.V.</t>
  </si>
  <si>
    <t xml:space="preserve">Desarrollo de un innovador absorbedor de impactos vehiculares de triple contenedor </t>
  </si>
  <si>
    <t>1,480,000.00</t>
  </si>
  <si>
    <t>Loop Conexión Empresarial, S.A. de C.V.</t>
  </si>
  <si>
    <t>Sistema de gestión hospitalario HTS con un kiosco médico para la interfaz con los pacientes</t>
  </si>
  <si>
    <t>Servicios Integrales Nutmen, S.A. de C.V.</t>
  </si>
  <si>
    <t>Uso de analítica prescriptiva de datos y técnicas in silico para el diseño de enzimas de activación supervisada para el tratamiento de agua contaminada con pigmentos textiles</t>
  </si>
  <si>
    <t>1,900,000.00</t>
  </si>
  <si>
    <t>Kanaje Exports, S.A. de C.V.</t>
  </si>
  <si>
    <t>Agrodata Monitor</t>
  </si>
  <si>
    <t>1,650,000.00</t>
  </si>
  <si>
    <t>Binney &amp; Smith (México), S.A. de C.V.</t>
  </si>
  <si>
    <t>Desarrollo tecnológico e innovación de una línea automática para empaque de crayones en cajas pre-armadas de cartón en 20 presentaciones, PROTOTIPO II</t>
  </si>
  <si>
    <t>Hop-it, S.A. de C.V.</t>
  </si>
  <si>
    <t>Pangea</t>
  </si>
  <si>
    <t>Frutos con Sabor a México, S.P.R. de R.L.</t>
  </si>
  <si>
    <t>Ixtapan de la Sal</t>
  </si>
  <si>
    <t>Fresco Local</t>
  </si>
  <si>
    <t>Nablamex, S.A. de C.V.</t>
  </si>
  <si>
    <t>Integración de circuitos de medición de fluidos multifase de densidad múltiple basado en un sistema de control de vaciado IoT en un tanque de almacenamiento de crudo</t>
  </si>
  <si>
    <t>600,000.00</t>
  </si>
  <si>
    <t>Desarrollo y construcción de un prototipo de ionización de partículas de cobre para impregnación en cultivos</t>
  </si>
  <si>
    <t>300,000.00</t>
  </si>
  <si>
    <t>Maquinaria Jersa, S.A. de C.V.</t>
  </si>
  <si>
    <t>Desarrollo de prototipo de maquina desapelmazadora de sargazo</t>
  </si>
  <si>
    <t>Quimifen de México, S.A. de C.V.</t>
  </si>
  <si>
    <t>Tenango del Valle</t>
  </si>
  <si>
    <t>Desarrollo de un producto microencapsulado de hierro para la fortificación de harinas de maíz y trigo con el objetivo de beneficiar a la población mexicana por su alta biodisponibilidad e incrementar la participación de Quimifen en el mercado local de exportación</t>
  </si>
  <si>
    <t>Luis Adrián Zúñiga Avilés</t>
  </si>
  <si>
    <t>Desarrollo tecnológico e innovación de dispositivo para traslado de pacientes (DTP)</t>
  </si>
  <si>
    <t>Beble Digital Solutions, S.A.P.I. de C.V.</t>
  </si>
  <si>
    <t>Modelo de interfaz de programación de aplicaciones para microservicios de funciones de autoverificación de datos</t>
  </si>
  <si>
    <t>EIMEX, S.A. de C.V. </t>
  </si>
  <si>
    <t>Mejora automática en los procesos especiales de maquinado preciso para una familia de piezas</t>
  </si>
  <si>
    <t>Uinik Technologies, S.A. de C.V.</t>
  </si>
  <si>
    <t>GPS para contenedores de material radioactivo</t>
  </si>
  <si>
    <t>Macrolive, S. de R.L. de C.V.</t>
  </si>
  <si>
    <t>Preservación de follajes naturales mediante un proceso vía acuosa libre de cloro elemental</t>
  </si>
  <si>
    <t>Grupo Monarca, S.A. DE C.V.</t>
  </si>
  <si>
    <t>Máquina y proceso para inyectar plástico integrado en piedras abrasivas cilíndricas para uso en giro a más de 1000 RPM</t>
  </si>
  <si>
    <t>Máquina y proceso para desengrasar y fabricar automatizadamente piezas de alambrón electro-soldado con reducción de paros</t>
  </si>
  <si>
    <t>Incorporación</t>
  </si>
  <si>
    <t>María Guadalupe Domínguez Valdés</t>
  </si>
  <si>
    <t>Determinación de estrategias de manejo adaptativo para el control de plantas parásitas sobre árboles frutales y maderables, frente a escenarios de cambio climático del Rancho el Arrayan, Amatepec Estado de México</t>
  </si>
  <si>
    <t>Establecimiento de un protocolo de micropropagación de crisantemo para potenciar la productividad en el Estado de México</t>
  </si>
  <si>
    <t>Desarrollo de la tecnología para la fabricación y comercialización de concentrados poliméricos (Master-batch) biobasados compostables</t>
  </si>
  <si>
    <t>NeolSyM, S.A. de C.V.</t>
  </si>
  <si>
    <t>Desarrollo de principios activos farmacéuticos: soberanía y asequibilidad de un medicamento antiparkinsoniano</t>
  </si>
  <si>
    <t>Manufactura de durmientes en compuestos poliméricos formulados a partir de materiales reciclados</t>
  </si>
  <si>
    <t>Angela Rebeca Pliego Nava</t>
  </si>
  <si>
    <t>Integración de un sistema digital para la capacitación, networking y ventas digitales de productos y servicios para mujeres</t>
  </si>
  <si>
    <t>1,008,000.00</t>
  </si>
  <si>
    <t>Araceli Cabrera Colin</t>
  </si>
  <si>
    <t>Diseño de un sistema de automatización para el proceso de fabricación y envasado de jarabes de agave, azúcar y miel</t>
  </si>
  <si>
    <t>Javier Guadarrama Chávez</t>
  </si>
  <si>
    <t>Diseño de una metodología de certificación orgánica para PyMES a fin de fomentar las señales de calidad sostenibles (certificación orgánica) en productos agroalimentarios. Estudio de caso Aires del Pedregal</t>
  </si>
  <si>
    <t>Cadena de Suministro EMCA, S.A. de C.V.</t>
  </si>
  <si>
    <t>Alineación del etiquetado y empaque ante normativas nacionales y desarrollo de una plataforma en línea para la comercialización de productos sustentables</t>
  </si>
  <si>
    <t>SIGEM Consulting and Services, S.A de C.V.</t>
  </si>
  <si>
    <t>Diseño e implementación de pruebas piloto de una unidad de inspección de conformidad con la NMX-EC-17020-IMNC-2014, para la evaluación de la conformidad de la NOM-020-SCT-2-2022, Especificaciones generales para el diseño, construcción y pruebas de autotanques destinados al autotransporte de sustancias, materiales y residuos peligrosos, especificaciones SICT 406, SICT 407 Y SICT 412</t>
  </si>
  <si>
    <t>SOTEC Lab, S.A. de C.V.</t>
  </si>
  <si>
    <t>Diseño, implementación y acreditación de métodos para la calibración de medidores de presión, temperatura y volumen bajo la NMX-EC-17025-IMNC-2018</t>
  </si>
  <si>
    <t>480,000.00</t>
  </si>
  <si>
    <t xml:space="preserve">Bleps Vision, S.A. de C.V. </t>
  </si>
  <si>
    <t>Desarrollo tecnológico del prototipo funcional del Topógrafo Corneal Portátil (TOCO) que incluye: demostración y pruebas de prototipo en ambiente operativo real, rediseño, fabricación de lote de pruebas y prueba para certificaciones del Topógrafo TOCO</t>
  </si>
  <si>
    <t>2,300,000.00</t>
  </si>
  <si>
    <t>Aerotec Research de México, S.A. de C.V.</t>
  </si>
  <si>
    <t>Sistema de ventilación-extracción axial de alto rendimiento para aplicación en hangares y talleres aeronáuticos</t>
  </si>
  <si>
    <t>2,100,000.00</t>
  </si>
  <si>
    <t xml:space="preserve">RS Wast, S.A. de C.V. </t>
  </si>
  <si>
    <t>Escalamiento de planta piloto para la producción de combustible a partir de desechos sólidos urbanos</t>
  </si>
  <si>
    <t>2,200,000.00</t>
  </si>
  <si>
    <t xml:space="preserve">Paga con Vales, S.A.P.I. de C.V. </t>
  </si>
  <si>
    <t>Integrador de pagos digitales híbridos con aceptación de tarjetas de vales, tarjetas de crédito y debito para implementación en tiendas de comercio electrónico</t>
  </si>
  <si>
    <t>1,700,000.00</t>
  </si>
  <si>
    <t xml:space="preserve">Maquinaria Jersa, S.A. de C.V. </t>
  </si>
  <si>
    <t>Desarrollo de sistema de adquisición de datos en entorno 4.0 para mantenimiento predictivo de equipos de proceso térmico para la industria alimenticia</t>
  </si>
  <si>
    <t xml:space="preserve">ADS Mexicana, S.A. de C.V. </t>
  </si>
  <si>
    <t>Desarrollo de un material prototipo base de polietileno de alta densidad virgen con polietileno de alta densidad reciclado a nivel planta piloto para la elaboración de tuberías para aplicaciones de drenaje sanitario de flujo a gravedad con diámetros comerciales</t>
  </si>
  <si>
    <t>Grupo Industrial Polisol, S.A. de C.V.</t>
  </si>
  <si>
    <t xml:space="preserve">San Mateo Atenco </t>
  </si>
  <si>
    <t>Escalamiento a nivel comercial del dispositivo de ensamble de shutter</t>
  </si>
  <si>
    <t>Sovetec, S.A. de C.V.</t>
  </si>
  <si>
    <t>Prototipo de telemetría para medición, control y monitoreo de flujo de agua mediante un dispositivo Modbus/GPRS conectado a flujómetro SMART</t>
  </si>
  <si>
    <t>441,720.70</t>
  </si>
  <si>
    <t>Desarrollo de un prototipo de bio-espuma floral a partir de los desechos de la floricultura de la región</t>
  </si>
  <si>
    <t>460,125.73</t>
  </si>
  <si>
    <t>Dispositivo para Traslado de Pacientes de actuación hidráulica (DTPH)</t>
  </si>
  <si>
    <t>276,075.44</t>
  </si>
  <si>
    <t>Alka Manufacturer, S.A. de C.V.</t>
  </si>
  <si>
    <t>Cabina seca de pintura para grandes componentes de sistemas de manejo de materiales y ensamble para la industria automotriz</t>
  </si>
  <si>
    <t>Escalamiento de un producto prototipo de banco de pruebas de validación de aplicaciones configurable con tecnologías de visión inteligente de quinta generación</t>
  </si>
  <si>
    <t xml:space="preserve">Diseño y prototipado de una botella con tapa mezcladora con doble cavidad para industria farmacéutica </t>
  </si>
  <si>
    <t>Magana, S.A. de C.V.</t>
  </si>
  <si>
    <t>Diseño y desarrollo de una máquina compacta de control de calidad de materias primas textiles con conteo y ubicación de defectos en tela para uso en la industria de la confección y textil</t>
  </si>
  <si>
    <t>460,106.00</t>
  </si>
  <si>
    <t>Ariadna Paola Castañeda Barenca</t>
  </si>
  <si>
    <t>Proceso de manufactura avanzada para implantes craneales personalizados con polímeros biocompatibles</t>
  </si>
  <si>
    <t>Acreditación de laboratorio de la magnitud dimensional para medidores automáticos de nivel</t>
  </si>
  <si>
    <t>Análisis químico y sensorial de cuatro productos frutícolas frente a la infección de muérdago verdadero, efectos sobre la calidad</t>
  </si>
  <si>
    <t>José Luis Bobadilla Sanchez</t>
  </si>
  <si>
    <t>FIXUM Desarrollo web que administra RRHH</t>
  </si>
  <si>
    <t>Itzel Nashielli García Luna</t>
  </si>
  <si>
    <t>Desarrollo de un alimento para niños de corta edad (12-36 meses) a base de cereales y leguminosas adicionado de vitaminas y hierro</t>
  </si>
  <si>
    <t>Hexatron, S.A. de C.V.</t>
  </si>
  <si>
    <t>Desarrollo de modelos para la sustentabilidad y el cumplimiento del código de red para la Industria del Estado de México</t>
  </si>
  <si>
    <t>Green Kiin Consultores Sustentables, S.A.S. de C.V.</t>
  </si>
  <si>
    <t>Productos de PET y algodón reciclado para comercializarse en línea, suministro de sistemas solares fotovoltaicos // ropa ecológica con materiales reciclados</t>
  </si>
  <si>
    <t>Grupo INDERS, S.C.</t>
  </si>
  <si>
    <t>ACADEMIA INDERS plataforma que desarrolla y brinda cursos, talleres, conferencias, manuales, e-books, y foros de capacitación para formación de capital humano // comunidad de capacitación virtual</t>
  </si>
  <si>
    <t>Verónica Margarita Alamillo López</t>
  </si>
  <si>
    <t>Desarrollo y acreditación como laboratorio de investigación para la determinación espectrometría uv-vis de compuestos orgánicos e inorgánicos en agua y materias primas utilizadas en los procesos del sector alimenticio</t>
  </si>
  <si>
    <t>Juan Joel Bartolo Osnaya</t>
  </si>
  <si>
    <t>Análisis comparativo sobre la calidad seminal de dosis homogéneas y heterogéneas de verracos a través del tiempo de almacenamiento</t>
  </si>
  <si>
    <t>Kreatsolutions 45, S.A de C.V.</t>
  </si>
  <si>
    <t>Diseño, gestión e implementación del método de muestreo para la caracterización y remediación de suelos contaminados por hidrocarburos (gasolinas y diésel) bajo la NOM-138-SEMARNAT/SSA1-2012</t>
  </si>
  <si>
    <t>Estandarización digital del proceso de integración y sensibilización del Comité de Atención Mediación, en la plataforma de Espacio libre de violencia de género, así como los entregables derivados de sus funciones</t>
  </si>
  <si>
    <t>Imecom, S.A. de C.V.</t>
  </si>
  <si>
    <t>Caracterización, manufactura y ensayos clínicos de una matriz extracelular para el tratamiento de heridas y regeneración de tejidos en humanos y animales</t>
  </si>
  <si>
    <t>698,151.00</t>
  </si>
  <si>
    <t>Grupo Osilmex, S. de R.L. de C.V.</t>
  </si>
  <si>
    <t>Escalamiento del ciclo de termodinámico CTCV para una Termoeléctrica Híbrida Renovable de 50 Kw</t>
  </si>
  <si>
    <t>1,188,433.00</t>
  </si>
  <si>
    <t>Shield Securitas, S.A de C.V.</t>
  </si>
  <si>
    <t>Pruebas en entorno relevante de un sistema biofísico basado en inteligencia artificial para la detección de estrés en llamadas de emergencia del 911</t>
  </si>
  <si>
    <t>1,345,105.00</t>
  </si>
  <si>
    <t>Sistema robótico lineal de control remoto para calibración de equipos detectores de radiación ionizante</t>
  </si>
  <si>
    <t>1,051,161.00</t>
  </si>
  <si>
    <t>Grupo Acuaingenia Suministros, S.A. de C.V.</t>
  </si>
  <si>
    <t>Validación y escalamiento industrial de una válvula economizadora de agua potable termorreguladora</t>
  </si>
  <si>
    <t>442,162.00</t>
  </si>
  <si>
    <t>Technology Vision Zurikato, S.A. de C.V.</t>
  </si>
  <si>
    <t>Desarrollo de un sistema de monitoreo de conductor DSM (Driving Monitoring System)</t>
  </si>
  <si>
    <t>1,241,158.00</t>
  </si>
  <si>
    <t>Desarrollo de biocápsulas de plástico biodegradable para encapsulación de miel de abeja como una alternativa para substituir los envases de vidrio convencionales</t>
  </si>
  <si>
    <t>353,798.00</t>
  </si>
  <si>
    <t>Decsef Sistemas, S.A. de C.V.</t>
  </si>
  <si>
    <t>Escalabilidad del sistema geoespacial y de trazabilidad multivariable para optimización de control de vehículos de la industria aeronáutica (incluyendo drones) para la aplicación de enseñanza aeronáutica, seguridad agricultura inteligente y transporte</t>
  </si>
  <si>
    <t>1,042,572.00</t>
  </si>
  <si>
    <t>Creación de mango reciclable para pala Plastiforze</t>
  </si>
  <si>
    <t>1,551,447.00</t>
  </si>
  <si>
    <t>Proceso de reconstrucción tridimensional termográfico para la regulación de la llama modulante integrado al quemador en hornos para metales no ferrosos</t>
  </si>
  <si>
    <t>1,086,013.00</t>
  </si>
  <si>
    <t>2024-01</t>
  </si>
  <si>
    <t>Desarrollo de un prototipo de superabsorbente nanocelulósico biodegradable para uso agrícola como enmienda de suelos</t>
  </si>
  <si>
    <t>Diseño y fabricación de prótesis para miembros inferiores de pequeñas especies</t>
  </si>
  <si>
    <t>100,000.00</t>
  </si>
  <si>
    <t>2024-02</t>
  </si>
  <si>
    <t>Sergio Martínez Luengas</t>
  </si>
  <si>
    <t>Diseño e ingeniería de molde para prototipos de piezas tipo rompecabezas</t>
  </si>
  <si>
    <t>SYS-DT, S.A. de C.V.</t>
  </si>
  <si>
    <t>Sistema de Estimulación Bioeléctrica STIM-SD</t>
  </si>
  <si>
    <t>Tarjeta electrónica KONTROL N4</t>
  </si>
  <si>
    <t>265,006.00</t>
  </si>
  <si>
    <t>Desarrollo de piezas porosas prototipo de UHMWPE para aromatizantes fabricadas por el proceso de sinterizado térmico</t>
  </si>
  <si>
    <t>Salvador Vega Salinas</t>
  </si>
  <si>
    <t>Desarrollo de prototipo de extrusora de tubo de PVC rígido cédula 40 para tubos sifón de extintores</t>
  </si>
  <si>
    <t>Ricardo Axel Cruz García</t>
  </si>
  <si>
    <t>Implementación de planta de compostaje, pasteurización y reproducción para la elaboración de bolsa inoculada de hongos comestibles</t>
  </si>
  <si>
    <t>Diseño de un extrusor para alimentos de costo accesible, mantenimiento mínimo, fácil sanitización y cumplimiento de aspectos ambientales de la ISO 14001 / Terminación Anticipada</t>
  </si>
  <si>
    <t>378,000.00</t>
  </si>
  <si>
    <t>ElectraEco Eficiencia Energética Mexicana</t>
  </si>
  <si>
    <t>126,000.00</t>
  </si>
  <si>
    <t>Desarrollo de la tecnología de formulación, proceso de fabricación y comercialización de compuestos de PVC rígido y flexible para fabricación de piezas eléctricas</t>
  </si>
  <si>
    <t>504,000.00</t>
  </si>
  <si>
    <t>Grupo Aelectronics de México, S.A. de C.V.</t>
  </si>
  <si>
    <t>Diseño, desarrollo de biomateriales y manufactura de una plataforma modular de construcción de prótesis y exoesqueletos con base en metodologías STEM para alumnos de bioingeniería</t>
  </si>
  <si>
    <t>882,000.00</t>
  </si>
  <si>
    <t xml:space="preserve">Diseño, diagnóstico documental, detección de necesidades de equipamiento, desarrollo de técnicas y asesoría para la acreditación de un laboratorio de pruebas bromatológicas y microbiológicas en la empresa Extruchetos, S.A. de C.V. </t>
  </si>
  <si>
    <t>245,000.00</t>
  </si>
  <si>
    <t>Operadora Comercializadora Innovax, S.A. de C.V.</t>
  </si>
  <si>
    <t>Certificación ISO 9001 de Operadora Comercial Innovax, S.A. de C.V. con herramientas manufactura 4.0</t>
  </si>
  <si>
    <t>390,110.00</t>
  </si>
  <si>
    <t>Transición energética</t>
  </si>
  <si>
    <t>1,000,000.00</t>
  </si>
  <si>
    <t>950,000.00</t>
  </si>
  <si>
    <t>986,000.00</t>
  </si>
  <si>
    <t xml:space="preserve">US Technologies, S.A. de C.V. </t>
  </si>
  <si>
    <t xml:space="preserve">Optimización y validación de un lubricante para forja base agua sin amoniaco con aplicación en la industria automotriz </t>
  </si>
  <si>
    <t>Greenruptive, S.A. de C.V.</t>
  </si>
  <si>
    <t>Superalimento biotecnológico vivo contra desnutrición y anemia</t>
  </si>
  <si>
    <t xml:space="preserve">Negatoscopio industrial led con densitómetro de transmisión calibrable y alimentación dual (12v dc/120v ac) </t>
  </si>
  <si>
    <t>Sistema integrador de pagos digitales que permite pagos con tarjetas de vales y pagos híbridos, por medio de la categorización de productos respetando las restricciones de cada modalidad de pago</t>
  </si>
  <si>
    <t>Inmobiliaria Trigos Garza, S.A. de C.V.</t>
  </si>
  <si>
    <t>Sistema modular ligero de captación y colección pluvial para ciudades</t>
  </si>
  <si>
    <t>800,000.00</t>
  </si>
  <si>
    <t xml:space="preserve">Fresco Local, S.A. de C.V. </t>
  </si>
  <si>
    <t>Tonatico</t>
  </si>
  <si>
    <t>Plataforma tecnológica para intercambio y análisis de información en tiempo real en el abasto de suministros alimenticios de acuerdo con la oferta y la demanda</t>
  </si>
  <si>
    <t xml:space="preserve">Innovación y desarrollo de la máquina freidora en línea para incrementar la producción y la estandarización de la calidad de la tostada botanera cariocas </t>
  </si>
  <si>
    <t xml:space="preserve">Electro Diesel de Toluca, S.A. de C.V. </t>
  </si>
  <si>
    <t>Sistema autónomo de prevención de fallas en el servicio de bombeo de agua potable</t>
  </si>
  <si>
    <t>900,000.00</t>
  </si>
  <si>
    <t xml:space="preserve">Automatizaciones de Tecnología y Control, S. de R.L. de C.V. </t>
  </si>
  <si>
    <t>Casa que usa hidrógeno producido en sitio y que es usado para reemplazar gas LP o gas natural</t>
  </si>
  <si>
    <t>2025-01</t>
  </si>
  <si>
    <t>Regina Rodríguez Sosa</t>
  </si>
  <si>
    <t>Diseño y fabricación de impresora 3d hibrida</t>
  </si>
  <si>
    <t>Soluciones Integrales para Diabetes de México DINSO-MX, S.A.P.I. de C.V.</t>
  </si>
  <si>
    <t>Prototipo de dispositivo médico para el acarreo y liberación controlada de antibióticos para el tratamiento de osteomielitis</t>
  </si>
  <si>
    <t>Beetzabé Rosado Flores</t>
  </si>
  <si>
    <t>Desarrollo de un Sistema de gestión de proyectos de desarrollo tecnológico</t>
  </si>
  <si>
    <t>Noemí Ángeles Ortega</t>
  </si>
  <si>
    <t>Desarrollo de innovaciones tecnológicas en pigmentos utilizados en la manufactura y la industria plástica de uso indirecto con alimentos bajo normas de máxima reglamentación internacional, a través de prototipos especializados y el fortalecimiento del laboratorio de pruebas de la empresa</t>
  </si>
  <si>
    <t>Correlación de propiedades mecánicas con parámetros reológicos para un polietileno de alta densidad</t>
  </si>
  <si>
    <t>Plataforma web para la búsqueda técnica de productos y la gestión integral de ensayos no destructivos (END) aplicada al sector manufacturero</t>
  </si>
  <si>
    <t>420,000.00</t>
  </si>
  <si>
    <t>Proceso de manufactura híbrida para válvulas de diafragma de alta pureza en las plantas de producción farmacéutica</t>
  </si>
  <si>
    <t xml:space="preserve">Grupo Teckio, S.A. de C.V. </t>
  </si>
  <si>
    <t>Maduración tecnológica y escalamiento comercial del ERP TECKIO</t>
  </si>
  <si>
    <t>Solución en Conversiones a Combustibles Alternos, S.R.L. de C.V.</t>
  </si>
  <si>
    <t xml:space="preserve"> Toluca</t>
  </si>
  <si>
    <t>Sistema de inyección multipunto para convertir vehículos de gasolina a gas natural</t>
  </si>
  <si>
    <t>ITER NET Red de Transporte, S.A. de C.V.</t>
  </si>
  <si>
    <t>Sistema inteligente de análisis y control de tráfico vehicular</t>
  </si>
  <si>
    <t>Ideeret, S.A. de C.V.</t>
  </si>
  <si>
    <t>Sistema evaluador y certificador de conductores de transporte público y pesado</t>
  </si>
  <si>
    <t>Escalamiento del sistema geoespacial y trazabilidad multivariable “OLIN” para monitoreo y telecomunicaciones con transponder ADS de un TRL6 a un TRL7</t>
  </si>
  <si>
    <t>Brazo articulado de carga con columna anclada a piso, con dispositivo de manipulación intercambiable</t>
  </si>
  <si>
    <t>GM Internacional, S.A. de C.V.</t>
  </si>
  <si>
    <t>Sistema de manufactura: Desarrollo de racks transportadores para la optimización del proceso de pintura de brazos limpiadores para el sector automotriz</t>
  </si>
  <si>
    <t>Torosqui, S.A. de C.V.</t>
  </si>
  <si>
    <t>Desarrollo de Sistemas Plug &amp; Play Automatizados para la circularidad del agua mediante la potabilización de influentes de diversas índoles permitiendo el reuso eficiente y la reducción de la huella de recursos hídricos</t>
  </si>
  <si>
    <t>Manufacturas Metálicas Tizayuca, S.A. de C.V.</t>
  </si>
  <si>
    <t>Sistema de captura y purificación de humos industriales a través de cultivos de microalgas</t>
  </si>
  <si>
    <t>Torosen, S.A. de C.V.</t>
  </si>
  <si>
    <t>Desarrollo de un sistema de control adaptativo para la inyección de plástico basado en inteligencia artificial y recolección de datos en tiempo real</t>
  </si>
  <si>
    <t>Emprendedores, 2021 - 2025</t>
  </si>
  <si>
    <t>Emprendedores</t>
  </si>
  <si>
    <t>Bumex tecnologías anti upp</t>
  </si>
  <si>
    <t>246,600.00</t>
  </si>
  <si>
    <t>Innovación tecnológica del Centro genético porcino "La Concepción"</t>
  </si>
  <si>
    <t>Bryan Omar Lecona Zárate</t>
  </si>
  <si>
    <t>Diseño e implementación de un reactor doble tipo batch con membrana para la sacarificación y fermentación (RDBM) simultánea para la producción de bioetanol de rastrojo de amaranto</t>
  </si>
  <si>
    <t>499,694.23</t>
  </si>
  <si>
    <t>492,169.60</t>
  </si>
  <si>
    <t>458,393.36</t>
  </si>
  <si>
    <t>Kathia Álvarez Martínez</t>
  </si>
  <si>
    <t>486,850.00</t>
  </si>
  <si>
    <t>Nueva empresa que ofrezca una innovadora máquina para esferificar bebidas naturales a efecto de beneficiar los giros de la heladería y paletería</t>
  </si>
  <si>
    <t>195,000.00</t>
  </si>
  <si>
    <t>496,279.26</t>
  </si>
  <si>
    <t>374,974.00</t>
  </si>
  <si>
    <t>498,574.00</t>
  </si>
  <si>
    <t>Fabricación de una válvula economizadora de agua potable termorregulada</t>
  </si>
  <si>
    <t>Producción de biofertilizantes orgánicos con una alta concentración de microorganismos benéficos para prevenir plagas y nutrir todo tipo de plantas; elaborados con residuos y basuras orgánicas</t>
  </si>
  <si>
    <t xml:space="preserve">Sown Technology: Diseño e innovación en implementos agrícolas para impulsar la productividad y el desarrollo en pequeñas empresas del sector agrario del Estado de México </t>
  </si>
  <si>
    <t>493,500.00</t>
  </si>
  <si>
    <t>499,200.00</t>
  </si>
  <si>
    <t>498,521.00</t>
  </si>
  <si>
    <t xml:space="preserve">Zihanya Itzel Roa López </t>
  </si>
  <si>
    <t>481,800.00</t>
  </si>
  <si>
    <t>340,000.00</t>
  </si>
  <si>
    <t>397,369.00</t>
  </si>
  <si>
    <t>395,000.00</t>
  </si>
  <si>
    <t>Yarelin Yuritzi Gálvez Vargas</t>
  </si>
  <si>
    <t>369,308.00</t>
  </si>
  <si>
    <t>341,235.00</t>
  </si>
  <si>
    <t>347,320.00</t>
  </si>
  <si>
    <t>399,741.00</t>
  </si>
  <si>
    <t>361,394.00</t>
  </si>
  <si>
    <t>357,500.00</t>
  </si>
  <si>
    <t>398,117.00</t>
  </si>
  <si>
    <t>398,802.00</t>
  </si>
  <si>
    <t>393,506.00</t>
  </si>
  <si>
    <t>250,000.00</t>
  </si>
  <si>
    <t>350,000.00</t>
  </si>
  <si>
    <t>378,580.00</t>
  </si>
  <si>
    <t>262,198.00</t>
  </si>
  <si>
    <t>280,000.00</t>
  </si>
  <si>
    <t>370,000.00</t>
  </si>
  <si>
    <t>Christian Iván León Tenorio</t>
  </si>
  <si>
    <t>La Paz</t>
  </si>
  <si>
    <t>179,500.00</t>
  </si>
  <si>
    <t xml:space="preserve">Juan Carlos Zepeda Paez </t>
  </si>
  <si>
    <t>399,000.00</t>
  </si>
  <si>
    <t>390,000.00</t>
  </si>
  <si>
    <t>315,457.00</t>
  </si>
  <si>
    <t>364,079.00</t>
  </si>
  <si>
    <t>Granja vertical automatizada para producción de hortalizas en zonas urbanas</t>
  </si>
  <si>
    <t>360,438.00</t>
  </si>
  <si>
    <t>255,765.00</t>
  </si>
  <si>
    <t>318,569.00</t>
  </si>
  <si>
    <t>Porfirio Cortez Solís</t>
  </si>
  <si>
    <t>349,516.00</t>
  </si>
  <si>
    <t>Bryan Enrique Meléndez Flores</t>
  </si>
  <si>
    <t>356,797.00</t>
  </si>
  <si>
    <t>363,834.00</t>
  </si>
  <si>
    <t>164,746.00</t>
  </si>
  <si>
    <t>273,059.00</t>
  </si>
  <si>
    <t>338,284.00</t>
  </si>
  <si>
    <t>Desarrollo y acreditación de un método de calibración de medidores de flujo para dar cumplimiento a las disposiciones administrativas de carácter general RES/811/2015 y anexo 30 de la miscelánea fiscal</t>
  </si>
  <si>
    <t>336,773.00</t>
  </si>
  <si>
    <t>¡De la innovación, a la acción!</t>
  </si>
  <si>
    <t>362,360.00</t>
  </si>
  <si>
    <t>Reciclaje de desechos de comercios dedicados a la venta de frituras para su aprovechamiento en un proceso de saponificación</t>
  </si>
  <si>
    <t>Joshua Ramírez Carmona</t>
  </si>
  <si>
    <t>Hugo Arian Marín Tapia</t>
  </si>
  <si>
    <t>Diseño y desarrollo de una biotinta para la bioimpresión 3D de equivalentes de córnea</t>
  </si>
  <si>
    <t>Aldo Darien Martínez Montiel</t>
  </si>
  <si>
    <t>Pomada cicatrizante de origen orgánico nanoestructurada "NANOCURE"</t>
  </si>
  <si>
    <t>Irving Anselmo Bretón García /                Jesus Iwlli Bautista Cruz</t>
  </si>
  <si>
    <t>Planta productora de alimento acuícola</t>
  </si>
  <si>
    <t>363,396.00</t>
  </si>
  <si>
    <t>Película polimérica delgada para la prevención y/o tratamiento del cáncer cervicouterino</t>
  </si>
  <si>
    <t>262,137.00</t>
  </si>
  <si>
    <t>Miguel Armando Moran González</t>
  </si>
  <si>
    <t>358,618.00</t>
  </si>
  <si>
    <t>233,921.00</t>
  </si>
  <si>
    <t>323,643.00</t>
  </si>
  <si>
    <t>Pisos de alta gama para vivienda, empresas y áreas publica</t>
  </si>
  <si>
    <t>141,698.00</t>
  </si>
  <si>
    <t>Escalamiento de capacidades productivas para agroquímicos orgánicos</t>
  </si>
  <si>
    <t>361,266.00</t>
  </si>
  <si>
    <t>Flor de María Núñez Hernández</t>
  </si>
  <si>
    <t>Fortificación de tortillas de maíz (Nutrí maíz)</t>
  </si>
  <si>
    <t>364,077.00</t>
  </si>
  <si>
    <t>Alimento crudo biológicamente apropiado embutido para perros</t>
  </si>
  <si>
    <t>364,014.00</t>
  </si>
  <si>
    <t>Derivados y optimizadores sustentables de México (DOSUMEX)</t>
  </si>
  <si>
    <t>Centro de producción y propagación de microorganismos dermentativos para la industria cervecera independiente</t>
  </si>
  <si>
    <t>362,274.00</t>
  </si>
  <si>
    <t>Prótesis biónica impresa en 3D de mano transradial con inteligencia artificial</t>
  </si>
  <si>
    <t>363,169.00</t>
  </si>
  <si>
    <t>340,673.00</t>
  </si>
  <si>
    <t>200,000.00</t>
  </si>
  <si>
    <t>188,954.81</t>
  </si>
  <si>
    <t>166,150.00</t>
  </si>
  <si>
    <t>199,960.00</t>
  </si>
  <si>
    <t>132,412.00</t>
  </si>
  <si>
    <t>193,749.00</t>
  </si>
  <si>
    <t>Aprovechamiento del termoplástico vulcanizado de la empresa Gates Atlacomulco, S. de R.L de C.V. para la elaboración de puertas y ventanas</t>
  </si>
  <si>
    <t>Luis Domínguez Castillo</t>
  </si>
  <si>
    <t>136,000.00</t>
  </si>
  <si>
    <t>Prótesis de rodilla policéntrica con estabilidad geométrica</t>
  </si>
  <si>
    <t>167,780.00</t>
  </si>
  <si>
    <t>190,000.00</t>
  </si>
  <si>
    <t>Del campo a tu salud: tortillas y snacks a base de maíz azul, adicionados con probióticos</t>
  </si>
  <si>
    <t>199,900.00</t>
  </si>
  <si>
    <t>199,727.00</t>
  </si>
  <si>
    <t>Jair Isaac Yáñez Enríquez</t>
  </si>
  <si>
    <t>Interfaz cerebro - computadora para neurocontrolar prótesis biónica de miembro superior</t>
  </si>
  <si>
    <t>Keep Clean Solar (Innovación en el servicio de mantenimiento preventivo, correctivo y predictivo para sistemas fotovoltaicos)</t>
  </si>
  <si>
    <t>196,146.00</t>
  </si>
  <si>
    <t>Diseño e innovación en desarrollo de sistemas fotovoltaicos</t>
  </si>
  <si>
    <t>199,830.00</t>
  </si>
  <si>
    <t>188,350.00</t>
  </si>
  <si>
    <t>Mejora en el proceso de producción de biofertilizantes orgánicos con una alta concentración de microorganismos benéficos para prevenir plagas y nutrir todo tipo de plantas</t>
  </si>
  <si>
    <t>198,497.00</t>
  </si>
  <si>
    <t>199,954.00</t>
  </si>
  <si>
    <t>199,400.00</t>
  </si>
  <si>
    <t>179,666.00</t>
  </si>
  <si>
    <t>Flavio César Aguilar Roldan</t>
  </si>
  <si>
    <t>Rubén Mociño Rodríguez</t>
  </si>
  <si>
    <t>Abril Isabel Nava de la Luz</t>
  </si>
  <si>
    <t>151,018.00</t>
  </si>
  <si>
    <t>KidFlash: Dispositivo IoT para conservación de muestras biomédicas con monitoreo termodinámico avanzado</t>
  </si>
  <si>
    <t>Rescate agroproductivo Mazahua: Implementación de micro túneles para el cultivo de arándano en zonas de alta marginación</t>
  </si>
  <si>
    <t>198,400.00</t>
  </si>
  <si>
    <t>186,000.00</t>
  </si>
  <si>
    <t>Carlos Enrique Alcocer Avilés</t>
  </si>
  <si>
    <t>Alberto Avila Núñez</t>
  </si>
  <si>
    <t>El Oro</t>
  </si>
  <si>
    <t>Juan Carlos Zepeda Páez</t>
  </si>
  <si>
    <t>199,663.00</t>
  </si>
  <si>
    <t>José Carlos Telésforo Silva</t>
  </si>
  <si>
    <t>172,482.00</t>
  </si>
  <si>
    <t>170,000.00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</si>
</sst>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quot;$&quot;* #,##0.00_-;\-&quot;$&quot;* #,##0.00_-;_-&quot;$&quot;* &quot;-&quot;??_-;_-@_-"/>
    <numFmt numFmtId="165" formatCode="&quot;$&quot;#,##0.00"/>
    <numFmt numFmtId="166" formatCode="_-[$$-409]* #,##0.00_ ;_-[$$-409]* \-#,##0.00\ ;_-[$$-409]* &quot;-&quot;??_ ;_-@_ "/>
  </numFmts>
  <fonts count="37">
    <font>
      <sz val="11"/>
      <color theme="1"/>
      <name val="Calibri"/>
      <family val="2"/>
      <scheme val="minor"/>
    </font>
    <font>
      <sz val="11"/>
      <color theme="1"/>
      <name val="Calibri"/>
      <family val="2"/>
      <scheme val="minor"/>
    </font>
    <font>
      <sz val="12"/>
      <color theme="1"/>
      <name val="Century Gothic"/>
      <family val="2"/>
    </font>
    <font>
      <b/>
      <sz val="36"/>
      <color rgb="FF00B0F0"/>
      <name val="Century Gothic"/>
      <family val="2"/>
    </font>
    <font>
      <sz val="11"/>
      <color theme="9" tint="-0.249977111117893"/>
      <name val="Calibri"/>
      <family val="2"/>
      <scheme val="minor"/>
    </font>
    <font>
      <sz val="12"/>
      <color rgb="FF000000"/>
      <name val="Century Gothic"/>
      <family val="2"/>
    </font>
    <font>
      <b/>
      <sz val="36"/>
      <color rgb="FF02D8C4"/>
      <name val="Century Gothic"/>
      <family val="2"/>
    </font>
    <font>
      <b/>
      <sz val="13"/>
      <color theme="1"/>
      <name val="Century Gothic"/>
      <family val="2"/>
    </font>
    <font>
      <u/>
      <sz val="11"/>
      <color theme="10"/>
      <name val="Calibri"/>
      <family val="2"/>
      <scheme val="minor"/>
    </font>
    <font>
      <sz val="12"/>
      <name val="Century Gothic"/>
      <family val="2"/>
    </font>
    <font>
      <b/>
      <sz val="12"/>
      <color theme="1"/>
      <name val="Century Gothic"/>
      <family val="2"/>
    </font>
    <font>
      <b/>
      <sz val="18"/>
      <color rgb="FF000000"/>
      <name val="Century Gothic"/>
    </font>
    <font>
      <sz val="12"/>
      <color theme="1"/>
      <name val="Century Gothic"/>
    </font>
    <font>
      <b/>
      <sz val="18"/>
      <color rgb="FF000000"/>
      <name val="Century Gothic"/>
      <charset val="1"/>
    </font>
    <font>
      <b/>
      <sz val="18"/>
      <color rgb="FF02D8C4"/>
      <name val="Century Gothic"/>
      <family val="2"/>
    </font>
    <font>
      <b/>
      <sz val="9"/>
      <color rgb="FF000000"/>
      <name val="Gotham"/>
      <family val="3"/>
    </font>
    <font>
      <b/>
      <sz val="9"/>
      <name val="Gotham"/>
      <family val="3"/>
    </font>
    <font>
      <sz val="8"/>
      <color rgb="FF000000"/>
      <name val="Gotham"/>
      <family val="3"/>
    </font>
    <font>
      <b/>
      <sz val="8"/>
      <color rgb="FF000000"/>
      <name val="Gotham"/>
      <family val="3"/>
    </font>
    <font>
      <sz val="11"/>
      <color rgb="FF000000"/>
      <name val="Calibri"/>
      <family val="2"/>
    </font>
    <font>
      <sz val="9"/>
      <color rgb="FF000000"/>
      <name val="Gotham"/>
      <family val="3"/>
    </font>
    <font>
      <sz val="8"/>
      <color rgb="FF000000"/>
      <name val="Calibri"/>
      <family val="2"/>
    </font>
    <font>
      <sz val="11"/>
      <color rgb="FF242424"/>
      <name val="Aptos Narrow"/>
      <charset val="1"/>
    </font>
    <font>
      <sz val="11"/>
      <color rgb="FF000000"/>
      <name val="Gotham"/>
      <family val="3"/>
    </font>
    <font>
      <b/>
      <sz val="11"/>
      <color rgb="FF000000"/>
      <name val="Arial"/>
      <family val="2"/>
    </font>
    <font>
      <sz val="9"/>
      <color rgb="FF000000"/>
      <name val="Arial"/>
      <family val="2"/>
    </font>
    <font>
      <b/>
      <sz val="9"/>
      <color rgb="FF000000"/>
      <name val="Arial"/>
      <family val="2"/>
    </font>
    <font>
      <sz val="9"/>
      <color rgb="FF201F1E"/>
      <name val="Arial"/>
      <family val="2"/>
    </font>
    <font>
      <i/>
      <sz val="9"/>
      <color rgb="FF000000"/>
      <name val="Arial"/>
      <family val="2"/>
    </font>
    <font>
      <sz val="10"/>
      <color rgb="FF000000"/>
      <name val="Calibri"/>
      <family val="2"/>
    </font>
    <font>
      <sz val="11"/>
      <color theme="1"/>
      <name val="Century Gothic"/>
    </font>
    <font>
      <b/>
      <sz val="13"/>
      <color theme="1"/>
      <name val="Century Gothic"/>
    </font>
    <font>
      <b/>
      <sz val="11"/>
      <color theme="1"/>
      <name val="Century Gothic"/>
    </font>
    <font>
      <sz val="11"/>
      <color rgb="FF000000"/>
      <name val="Century Gothic"/>
      <charset val="1"/>
    </font>
    <font>
      <b/>
      <sz val="12"/>
      <color theme="1"/>
      <name val="Century Gothic"/>
    </font>
    <font>
      <b/>
      <sz val="20"/>
      <color rgb="FFD02CF5"/>
      <name val="Century Gothic"/>
    </font>
    <font>
      <b/>
      <sz val="18"/>
      <color rgb="FFD02CF5"/>
      <name val="Century Gothic"/>
    </font>
  </fonts>
  <fills count="29">
    <fill>
      <patternFill patternType="none"/>
    </fill>
    <fill>
      <patternFill patternType="gray125"/>
    </fill>
    <fill>
      <patternFill patternType="solid">
        <fgColor rgb="FF02D8C4"/>
        <bgColor indexed="64"/>
      </patternFill>
    </fill>
    <fill>
      <patternFill patternType="solid">
        <fgColor theme="7" tint="0.79998168889431442"/>
        <bgColor indexed="64"/>
      </patternFill>
    </fill>
    <fill>
      <patternFill patternType="solid">
        <fgColor rgb="FFFF505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rgb="FFDAE2B2"/>
        <bgColor indexed="64"/>
      </patternFill>
    </fill>
    <fill>
      <patternFill patternType="solid">
        <fgColor rgb="FFDBA9E5"/>
        <bgColor indexed="64"/>
      </patternFill>
    </fill>
    <fill>
      <patternFill patternType="solid">
        <fgColor rgb="FFC6E0B4"/>
        <bgColor rgb="FF000000"/>
      </patternFill>
    </fill>
    <fill>
      <patternFill patternType="solid">
        <fgColor rgb="FFDDEBF7"/>
        <bgColor rgb="FF000000"/>
      </patternFill>
    </fill>
    <fill>
      <patternFill patternType="solid">
        <fgColor rgb="FFFFFFFF"/>
        <bgColor rgb="FF000000"/>
      </patternFill>
    </fill>
    <fill>
      <patternFill patternType="solid">
        <fgColor rgb="FFFFFF00"/>
        <bgColor rgb="FF000000"/>
      </patternFill>
    </fill>
    <fill>
      <patternFill patternType="solid">
        <fgColor rgb="FFBDD7EE"/>
        <bgColor rgb="FF000000"/>
      </patternFill>
    </fill>
    <fill>
      <patternFill patternType="solid">
        <fgColor rgb="FFFFF2CC"/>
        <bgColor rgb="FF000000"/>
      </patternFill>
    </fill>
    <fill>
      <patternFill patternType="solid">
        <fgColor rgb="FFE2EFD9"/>
        <bgColor rgb="FF000000"/>
      </patternFill>
    </fill>
    <fill>
      <patternFill patternType="solid">
        <fgColor rgb="FFFFF3CB"/>
        <bgColor rgb="FF000000"/>
      </patternFill>
    </fill>
    <fill>
      <patternFill patternType="solid">
        <fgColor rgb="FFFCE4D6"/>
        <bgColor rgb="FF000000"/>
      </patternFill>
    </fill>
    <fill>
      <patternFill patternType="solid">
        <fgColor rgb="FFFBE4D5"/>
        <bgColor rgb="FF000000"/>
      </patternFill>
    </fill>
    <fill>
      <patternFill patternType="solid">
        <fgColor rgb="FFEDEDED"/>
        <bgColor rgb="FF000000"/>
      </patternFill>
    </fill>
    <fill>
      <patternFill patternType="solid">
        <fgColor rgb="FFE2EFDA"/>
        <bgColor rgb="FF000000"/>
      </patternFill>
    </fill>
    <fill>
      <patternFill patternType="solid">
        <fgColor rgb="FFFFEBFF"/>
        <bgColor rgb="FF000000"/>
      </patternFill>
    </fill>
    <fill>
      <patternFill patternType="solid">
        <fgColor rgb="FFEBF5FF"/>
        <bgColor rgb="FF000000"/>
      </patternFill>
    </fill>
    <fill>
      <patternFill patternType="solid">
        <fgColor rgb="FFFDFFEB"/>
        <bgColor rgb="FF000000"/>
      </patternFill>
    </fill>
    <fill>
      <patternFill patternType="solid">
        <fgColor rgb="FFFFE7E7"/>
        <bgColor rgb="FF000000"/>
      </patternFill>
    </fill>
    <fill>
      <patternFill patternType="solid">
        <fgColor rgb="FFFFF4EF"/>
        <bgColor rgb="FF000000"/>
      </patternFill>
    </fill>
    <fill>
      <patternFill patternType="solid">
        <fgColor rgb="FFEBFFF5"/>
        <bgColor rgb="FF000000"/>
      </patternFill>
    </fill>
    <fill>
      <patternFill patternType="solid">
        <fgColor rgb="FFC58ED1"/>
        <bgColor indexed="64"/>
      </patternFill>
    </fill>
  </fills>
  <borders count="63">
    <border>
      <left/>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rgb="FF000000"/>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bottom/>
      <diagonal/>
    </border>
    <border>
      <left style="medium">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medium">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s>
  <cellStyleXfs count="4">
    <xf numFmtId="0" fontId="0" fillId="0" borderId="0"/>
    <xf numFmtId="164" fontId="1" fillId="0" borderId="0" applyFon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cellStyleXfs>
  <cellXfs count="287">
    <xf numFmtId="0" fontId="0" fillId="0" borderId="0" xfId="0"/>
    <xf numFmtId="0" fontId="2" fillId="0" borderId="0" xfId="0" applyFont="1" applyAlignment="1">
      <alignment horizontal="center" vertical="center" wrapText="1"/>
    </xf>
    <xf numFmtId="0" fontId="3" fillId="0" borderId="0" xfId="0" applyFont="1" applyAlignment="1">
      <alignment vertical="center" wrapText="1"/>
    </xf>
    <xf numFmtId="0" fontId="4" fillId="0" borderId="0" xfId="0" applyFont="1"/>
    <xf numFmtId="0" fontId="5" fillId="0" borderId="1"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165" fontId="2" fillId="0" borderId="1" xfId="0" applyNumberFormat="1" applyFont="1" applyBorder="1" applyAlignment="1">
      <alignment horizontal="center" vertical="center" wrapText="1"/>
    </xf>
    <xf numFmtId="0" fontId="6" fillId="0" borderId="0" xfId="0" applyFont="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8" fillId="0" borderId="3" xfId="2" applyFill="1" applyBorder="1" applyAlignment="1">
      <alignment horizontal="center" vertical="center" wrapText="1"/>
    </xf>
    <xf numFmtId="0" fontId="8" fillId="0" borderId="3" xfId="2" applyBorder="1" applyAlignment="1">
      <alignment horizontal="center" vertical="center" wrapText="1"/>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165" fontId="2" fillId="0" borderId="1" xfId="1" applyNumberFormat="1" applyFont="1" applyBorder="1" applyAlignment="1">
      <alignment horizontal="center" vertical="center" wrapText="1"/>
    </xf>
    <xf numFmtId="0" fontId="5" fillId="0" borderId="6" xfId="0" applyFont="1" applyBorder="1" applyAlignment="1">
      <alignment horizontal="center" vertical="center" wrapText="1"/>
    </xf>
    <xf numFmtId="0" fontId="9" fillId="0" borderId="2" xfId="0" applyFont="1" applyBorder="1" applyAlignment="1">
      <alignment horizontal="center" vertical="center" wrapText="1"/>
    </xf>
    <xf numFmtId="165" fontId="10" fillId="0" borderId="1" xfId="0" applyNumberFormat="1" applyFont="1" applyBorder="1" applyAlignment="1">
      <alignment horizontal="center" vertical="center" wrapText="1"/>
    </xf>
    <xf numFmtId="0" fontId="5"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0" fillId="0" borderId="3" xfId="0" applyBorder="1"/>
    <xf numFmtId="0" fontId="8" fillId="0" borderId="1" xfId="2" applyFill="1" applyBorder="1" applyAlignment="1">
      <alignment horizontal="center" vertical="center" wrapText="1"/>
    </xf>
    <xf numFmtId="0" fontId="5" fillId="8" borderId="1" xfId="0" applyFont="1" applyFill="1" applyBorder="1" applyAlignment="1">
      <alignment horizontal="center" vertical="center" wrapText="1"/>
    </xf>
    <xf numFmtId="0" fontId="5" fillId="0" borderId="7" xfId="0" applyFont="1" applyBorder="1" applyAlignment="1">
      <alignment horizontal="center" vertical="center" wrapText="1"/>
    </xf>
    <xf numFmtId="0" fontId="5" fillId="0" borderId="6" xfId="0" applyFont="1" applyBorder="1" applyAlignment="1">
      <alignment horizontal="center" vertical="top" wrapText="1"/>
    </xf>
    <xf numFmtId="0" fontId="5" fillId="0" borderId="8" xfId="0" applyFont="1" applyBorder="1" applyAlignment="1">
      <alignment horizontal="center" vertical="center" wrapText="1"/>
    </xf>
    <xf numFmtId="0" fontId="5" fillId="9" borderId="3"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12" fillId="0" borderId="14" xfId="0" applyFont="1" applyBorder="1" applyAlignment="1">
      <alignment horizontal="center" vertical="center"/>
    </xf>
    <xf numFmtId="0" fontId="15" fillId="10" borderId="1" xfId="0" applyFont="1" applyFill="1" applyBorder="1" applyAlignment="1">
      <alignment wrapText="1"/>
    </xf>
    <xf numFmtId="0" fontId="15" fillId="10" borderId="5" xfId="0" applyFont="1" applyFill="1" applyBorder="1" applyAlignment="1">
      <alignment wrapText="1"/>
    </xf>
    <xf numFmtId="0" fontId="15" fillId="11" borderId="5" xfId="0" applyFont="1" applyFill="1" applyBorder="1" applyAlignment="1">
      <alignment wrapText="1"/>
    </xf>
    <xf numFmtId="0" fontId="17" fillId="12" borderId="21" xfId="0" applyFont="1" applyFill="1" applyBorder="1" applyAlignment="1">
      <alignment wrapText="1"/>
    </xf>
    <xf numFmtId="0" fontId="17" fillId="12" borderId="5" xfId="0" applyFont="1" applyFill="1" applyBorder="1" applyAlignment="1">
      <alignment wrapText="1"/>
    </xf>
    <xf numFmtId="0" fontId="8" fillId="12" borderId="5" xfId="3" applyFill="1" applyBorder="1" applyAlignment="1">
      <alignment wrapText="1"/>
    </xf>
    <xf numFmtId="0" fontId="17" fillId="13" borderId="5" xfId="0" applyFont="1" applyFill="1" applyBorder="1" applyAlignment="1">
      <alignment wrapText="1"/>
    </xf>
    <xf numFmtId="0" fontId="18" fillId="14" borderId="5" xfId="0" applyFont="1" applyFill="1" applyBorder="1" applyAlignment="1">
      <alignment wrapText="1"/>
    </xf>
    <xf numFmtId="0" fontId="18" fillId="10" borderId="5" xfId="0" applyFont="1" applyFill="1" applyBorder="1" applyAlignment="1">
      <alignment wrapText="1"/>
    </xf>
    <xf numFmtId="0" fontId="18" fillId="15" borderId="5" xfId="0" applyFont="1" applyFill="1" applyBorder="1" applyAlignment="1">
      <alignment wrapText="1"/>
    </xf>
    <xf numFmtId="0" fontId="18" fillId="10" borderId="22" xfId="0" applyFont="1" applyFill="1" applyBorder="1" applyAlignment="1">
      <alignment wrapText="1"/>
    </xf>
    <xf numFmtId="0" fontId="17" fillId="12" borderId="23" xfId="0" applyFont="1" applyFill="1" applyBorder="1" applyAlignment="1">
      <alignment wrapText="1"/>
    </xf>
    <xf numFmtId="0" fontId="17" fillId="12" borderId="22" xfId="0" applyFont="1" applyFill="1" applyBorder="1" applyAlignment="1">
      <alignment wrapText="1"/>
    </xf>
    <xf numFmtId="0" fontId="8" fillId="12" borderId="22" xfId="3" applyFill="1" applyBorder="1" applyAlignment="1">
      <alignment wrapText="1"/>
    </xf>
    <xf numFmtId="0" fontId="18" fillId="14" borderId="22" xfId="0" applyFont="1" applyFill="1" applyBorder="1" applyAlignment="1">
      <alignment wrapText="1"/>
    </xf>
    <xf numFmtId="0" fontId="18" fillId="15" borderId="22" xfId="0" applyFont="1" applyFill="1" applyBorder="1" applyAlignment="1">
      <alignment wrapText="1"/>
    </xf>
    <xf numFmtId="0" fontId="17" fillId="0" borderId="24" xfId="0" applyFont="1" applyBorder="1"/>
    <xf numFmtId="0" fontId="17" fillId="0" borderId="25" xfId="0" applyFont="1" applyBorder="1"/>
    <xf numFmtId="0" fontId="18" fillId="0" borderId="25" xfId="0" applyFont="1" applyBorder="1"/>
    <xf numFmtId="0" fontId="19" fillId="0" borderId="0" xfId="0" applyFont="1"/>
    <xf numFmtId="0" fontId="17" fillId="12" borderId="1" xfId="0" applyFont="1" applyFill="1" applyBorder="1" applyAlignment="1">
      <alignment wrapText="1"/>
    </xf>
    <xf numFmtId="0" fontId="20" fillId="12" borderId="5" xfId="0" applyFont="1" applyFill="1" applyBorder="1" applyAlignment="1">
      <alignment wrapText="1"/>
    </xf>
    <xf numFmtId="0" fontId="17" fillId="0" borderId="5" xfId="0" applyFont="1" applyBorder="1" applyAlignment="1">
      <alignment wrapText="1"/>
    </xf>
    <xf numFmtId="0" fontId="8" fillId="0" borderId="5" xfId="3" applyFill="1" applyBorder="1" applyAlignment="1">
      <alignment wrapText="1"/>
    </xf>
    <xf numFmtId="0" fontId="21" fillId="0" borderId="5" xfId="0" applyFont="1" applyBorder="1" applyAlignment="1">
      <alignment wrapText="1"/>
    </xf>
    <xf numFmtId="43" fontId="18" fillId="0" borderId="25" xfId="0" applyNumberFormat="1" applyFont="1" applyBorder="1"/>
    <xf numFmtId="4" fontId="17" fillId="0" borderId="5" xfId="0" applyNumberFormat="1" applyFont="1" applyBorder="1" applyAlignment="1">
      <alignment wrapText="1"/>
    </xf>
    <xf numFmtId="0" fontId="22" fillId="0" borderId="0" xfId="0" applyFont="1"/>
    <xf numFmtId="0" fontId="23" fillId="0" borderId="25" xfId="0" applyFont="1" applyBorder="1"/>
    <xf numFmtId="0" fontId="26" fillId="0" borderId="26" xfId="0" applyFont="1" applyBorder="1" applyAlignment="1">
      <alignment horizontal="center" vertical="center" wrapText="1"/>
    </xf>
    <xf numFmtId="0" fontId="26" fillId="0" borderId="27" xfId="0" applyFont="1" applyBorder="1" applyAlignment="1">
      <alignment horizontal="center" vertical="center" wrapText="1"/>
    </xf>
    <xf numFmtId="0" fontId="26" fillId="0" borderId="28" xfId="0" applyFont="1" applyBorder="1" applyAlignment="1">
      <alignment horizontal="center" vertical="center" wrapText="1"/>
    </xf>
    <xf numFmtId="0" fontId="25" fillId="0" borderId="0" xfId="0" applyFont="1" applyAlignment="1">
      <alignment horizontal="center" vertical="center" wrapText="1"/>
    </xf>
    <xf numFmtId="0" fontId="25" fillId="16" borderId="21" xfId="0" applyFont="1" applyFill="1" applyBorder="1" applyAlignment="1">
      <alignment horizontal="center" vertical="center" wrapText="1"/>
    </xf>
    <xf numFmtId="0" fontId="25" fillId="17" borderId="21" xfId="0" applyFont="1" applyFill="1" applyBorder="1" applyAlignment="1">
      <alignment horizontal="center" vertical="center" wrapText="1"/>
    </xf>
    <xf numFmtId="0" fontId="25" fillId="11" borderId="21" xfId="0" applyFont="1" applyFill="1" applyBorder="1" applyAlignment="1">
      <alignment horizontal="center" vertical="center" wrapText="1"/>
    </xf>
    <xf numFmtId="0" fontId="25" fillId="18" borderId="21" xfId="0" applyFont="1" applyFill="1" applyBorder="1" applyAlignment="1">
      <alignment horizontal="center" vertical="center" wrapText="1"/>
    </xf>
    <xf numFmtId="0" fontId="25" fillId="20" borderId="21" xfId="0" applyFont="1" applyFill="1" applyBorder="1" applyAlignment="1">
      <alignment horizontal="center" vertical="center" wrapText="1"/>
    </xf>
    <xf numFmtId="0" fontId="25" fillId="20" borderId="30" xfId="0" applyFont="1" applyFill="1" applyBorder="1" applyAlignment="1">
      <alignment horizontal="center" vertical="center" wrapText="1"/>
    </xf>
    <xf numFmtId="0" fontId="25" fillId="18" borderId="23" xfId="0" applyFont="1" applyFill="1" applyBorder="1" applyAlignment="1">
      <alignment horizontal="center" vertical="center" wrapText="1"/>
    </xf>
    <xf numFmtId="0" fontId="25" fillId="16" borderId="34" xfId="0" applyFont="1" applyFill="1" applyBorder="1" applyAlignment="1">
      <alignment horizontal="center" vertical="center" wrapText="1"/>
    </xf>
    <xf numFmtId="0" fontId="25" fillId="18" borderId="30" xfId="0" applyFont="1" applyFill="1" applyBorder="1" applyAlignment="1">
      <alignment horizontal="center" vertical="center" wrapText="1"/>
    </xf>
    <xf numFmtId="0" fontId="25" fillId="0" borderId="0" xfId="0" applyFont="1" applyAlignment="1">
      <alignment horizontal="right" vertical="center" wrapText="1"/>
    </xf>
    <xf numFmtId="0" fontId="25" fillId="16" borderId="29" xfId="0" applyFont="1" applyFill="1" applyBorder="1" applyAlignment="1">
      <alignment horizontal="right" vertical="center" wrapText="1"/>
    </xf>
    <xf numFmtId="0" fontId="25" fillId="17" borderId="29" xfId="0" applyFont="1" applyFill="1" applyBorder="1" applyAlignment="1">
      <alignment horizontal="right" vertical="center" wrapText="1"/>
    </xf>
    <xf numFmtId="0" fontId="25" fillId="11" borderId="29" xfId="0" applyFont="1" applyFill="1" applyBorder="1" applyAlignment="1">
      <alignment horizontal="right" vertical="center" wrapText="1"/>
    </xf>
    <xf numFmtId="0" fontId="25" fillId="19" borderId="29" xfId="0" applyFont="1" applyFill="1" applyBorder="1" applyAlignment="1">
      <alignment horizontal="right" vertical="center" wrapText="1"/>
    </xf>
    <xf numFmtId="0" fontId="25" fillId="20" borderId="29" xfId="0" applyFont="1" applyFill="1" applyBorder="1" applyAlignment="1">
      <alignment horizontal="right" vertical="center" wrapText="1"/>
    </xf>
    <xf numFmtId="0" fontId="25" fillId="20" borderId="32" xfId="0" applyFont="1" applyFill="1" applyBorder="1" applyAlignment="1">
      <alignment horizontal="right" vertical="center" wrapText="1"/>
    </xf>
    <xf numFmtId="0" fontId="25" fillId="21" borderId="29" xfId="0" applyFont="1" applyFill="1" applyBorder="1" applyAlignment="1">
      <alignment horizontal="right" vertical="center" wrapText="1"/>
    </xf>
    <xf numFmtId="0" fontId="25" fillId="15" borderId="29" xfId="0" applyFont="1" applyFill="1" applyBorder="1" applyAlignment="1">
      <alignment horizontal="right" vertical="center" wrapText="1"/>
    </xf>
    <xf numFmtId="0" fontId="25" fillId="18" borderId="29" xfId="0" applyFont="1" applyFill="1" applyBorder="1" applyAlignment="1">
      <alignment horizontal="right" vertical="center" wrapText="1"/>
    </xf>
    <xf numFmtId="0" fontId="25" fillId="18" borderId="33" xfId="0" applyFont="1" applyFill="1" applyBorder="1" applyAlignment="1">
      <alignment horizontal="right" vertical="center" wrapText="1"/>
    </xf>
    <xf numFmtId="0" fontId="25" fillId="21" borderId="36" xfId="0" applyFont="1" applyFill="1" applyBorder="1" applyAlignment="1">
      <alignment horizontal="right" vertical="center" wrapText="1"/>
    </xf>
    <xf numFmtId="0" fontId="25" fillId="18" borderId="32" xfId="0" applyFont="1" applyFill="1" applyBorder="1" applyAlignment="1">
      <alignment horizontal="right" vertical="center" wrapText="1"/>
    </xf>
    <xf numFmtId="0" fontId="25" fillId="0" borderId="0" xfId="0" applyFont="1" applyAlignment="1">
      <alignment horizontal="left" vertical="center" wrapText="1"/>
    </xf>
    <xf numFmtId="0" fontId="25" fillId="16" borderId="5" xfId="0" applyFont="1" applyFill="1" applyBorder="1" applyAlignment="1">
      <alignment horizontal="left" vertical="center" wrapText="1"/>
    </xf>
    <xf numFmtId="0" fontId="25" fillId="17" borderId="5" xfId="0" applyFont="1" applyFill="1" applyBorder="1" applyAlignment="1">
      <alignment horizontal="left" vertical="center" wrapText="1"/>
    </xf>
    <xf numFmtId="0" fontId="27" fillId="17" borderId="5" xfId="0" applyFont="1" applyFill="1" applyBorder="1" applyAlignment="1">
      <alignment horizontal="left" vertical="center" wrapText="1"/>
    </xf>
    <xf numFmtId="0" fontId="25" fillId="11" borderId="5" xfId="0" applyFont="1" applyFill="1" applyBorder="1" applyAlignment="1">
      <alignment horizontal="left" vertical="center" wrapText="1"/>
    </xf>
    <xf numFmtId="0" fontId="25" fillId="19" borderId="5" xfId="0" applyFont="1" applyFill="1" applyBorder="1" applyAlignment="1">
      <alignment horizontal="left" vertical="center" wrapText="1"/>
    </xf>
    <xf numFmtId="0" fontId="25" fillId="20" borderId="5" xfId="0" applyFont="1" applyFill="1" applyBorder="1" applyAlignment="1">
      <alignment horizontal="left" vertical="center" wrapText="1"/>
    </xf>
    <xf numFmtId="0" fontId="25" fillId="20" borderId="31" xfId="0" applyFont="1" applyFill="1" applyBorder="1" applyAlignment="1">
      <alignment horizontal="left" vertical="center" wrapText="1"/>
    </xf>
    <xf numFmtId="0" fontId="25" fillId="21" borderId="5" xfId="0" applyFont="1" applyFill="1" applyBorder="1" applyAlignment="1">
      <alignment horizontal="left" vertical="center" wrapText="1"/>
    </xf>
    <xf numFmtId="0" fontId="25" fillId="15" borderId="5" xfId="0" applyFont="1" applyFill="1" applyBorder="1" applyAlignment="1">
      <alignment horizontal="left" vertical="center" wrapText="1"/>
    </xf>
    <xf numFmtId="0" fontId="25" fillId="18" borderId="5" xfId="0" applyFont="1" applyFill="1" applyBorder="1" applyAlignment="1">
      <alignment horizontal="left" vertical="center" wrapText="1"/>
    </xf>
    <xf numFmtId="0" fontId="25" fillId="18" borderId="22" xfId="0" applyFont="1" applyFill="1" applyBorder="1" applyAlignment="1">
      <alignment horizontal="left" vertical="center" wrapText="1"/>
    </xf>
    <xf numFmtId="0" fontId="25" fillId="16" borderId="35" xfId="0" applyFont="1" applyFill="1" applyBorder="1" applyAlignment="1">
      <alignment horizontal="left" vertical="center" wrapText="1"/>
    </xf>
    <xf numFmtId="0" fontId="25" fillId="18" borderId="31" xfId="0" applyFont="1" applyFill="1" applyBorder="1" applyAlignment="1">
      <alignment horizontal="left" vertical="center" wrapText="1"/>
    </xf>
    <xf numFmtId="0" fontId="25" fillId="16" borderId="5" xfId="0" applyFont="1" applyFill="1" applyBorder="1" applyAlignment="1">
      <alignment horizontal="center" vertical="center" wrapText="1"/>
    </xf>
    <xf numFmtId="0" fontId="25" fillId="17" borderId="5" xfId="0" applyFont="1" applyFill="1" applyBorder="1" applyAlignment="1">
      <alignment horizontal="center" vertical="center" wrapText="1"/>
    </xf>
    <xf numFmtId="0" fontId="25" fillId="11" borderId="5" xfId="0" applyFont="1" applyFill="1" applyBorder="1" applyAlignment="1">
      <alignment horizontal="center" vertical="center" wrapText="1"/>
    </xf>
    <xf numFmtId="0" fontId="25" fillId="18" borderId="5" xfId="0" applyFont="1" applyFill="1" applyBorder="1" applyAlignment="1">
      <alignment horizontal="center" vertical="center" wrapText="1"/>
    </xf>
    <xf numFmtId="0" fontId="25" fillId="20" borderId="5" xfId="0" applyFont="1" applyFill="1" applyBorder="1" applyAlignment="1">
      <alignment horizontal="center" vertical="center" wrapText="1"/>
    </xf>
    <xf numFmtId="0" fontId="25" fillId="20" borderId="31" xfId="0" applyFont="1" applyFill="1" applyBorder="1" applyAlignment="1">
      <alignment horizontal="center" vertical="center" wrapText="1"/>
    </xf>
    <xf numFmtId="0" fontId="25" fillId="19" borderId="5" xfId="0" applyFont="1" applyFill="1" applyBorder="1" applyAlignment="1">
      <alignment horizontal="center" vertical="center" wrapText="1"/>
    </xf>
    <xf numFmtId="0" fontId="25" fillId="18" borderId="22" xfId="0" applyFont="1" applyFill="1" applyBorder="1" applyAlignment="1">
      <alignment horizontal="center" vertical="center" wrapText="1"/>
    </xf>
    <xf numFmtId="0" fontId="25" fillId="21" borderId="35" xfId="0" applyFont="1" applyFill="1" applyBorder="1" applyAlignment="1">
      <alignment horizontal="center" vertical="center" wrapText="1"/>
    </xf>
    <xf numFmtId="0" fontId="25" fillId="21" borderId="5" xfId="0" applyFont="1" applyFill="1" applyBorder="1" applyAlignment="1">
      <alignment horizontal="center" vertical="center" wrapText="1"/>
    </xf>
    <xf numFmtId="0" fontId="25" fillId="16" borderId="35" xfId="0" applyFont="1" applyFill="1" applyBorder="1" applyAlignment="1">
      <alignment horizontal="center" vertical="center" wrapText="1"/>
    </xf>
    <xf numFmtId="0" fontId="25" fillId="18" borderId="3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right" vertical="center" wrapText="1"/>
    </xf>
    <xf numFmtId="0" fontId="19" fillId="0" borderId="0" xfId="0" applyFont="1" applyAlignment="1">
      <alignment horizontal="center" vertical="center" wrapText="1"/>
    </xf>
    <xf numFmtId="0" fontId="19" fillId="0" borderId="0" xfId="0" applyFont="1" applyAlignment="1">
      <alignment horizontal="left" vertical="center" wrapText="1"/>
    </xf>
    <xf numFmtId="0" fontId="26" fillId="0" borderId="37" xfId="0" applyFont="1" applyBorder="1" applyAlignment="1">
      <alignment horizontal="center" vertical="center" wrapText="1"/>
    </xf>
    <xf numFmtId="0" fontId="26" fillId="0" borderId="38" xfId="0" applyFont="1" applyBorder="1" applyAlignment="1">
      <alignment horizontal="center" vertical="center" wrapText="1"/>
    </xf>
    <xf numFmtId="0" fontId="25" fillId="22" borderId="34" xfId="0" applyFont="1" applyFill="1" applyBorder="1" applyAlignment="1">
      <alignment horizontal="center" vertical="center" wrapText="1"/>
    </xf>
    <xf numFmtId="0" fontId="25" fillId="22" borderId="35" xfId="0" applyFont="1" applyFill="1" applyBorder="1" applyAlignment="1">
      <alignment horizontal="center" vertical="center" wrapText="1"/>
    </xf>
    <xf numFmtId="0" fontId="25" fillId="22" borderId="35" xfId="0" applyFont="1" applyFill="1" applyBorder="1" applyAlignment="1">
      <alignment horizontal="left" vertical="center" wrapText="1"/>
    </xf>
    <xf numFmtId="0" fontId="25" fillId="22" borderId="5" xfId="0" applyFont="1" applyFill="1" applyBorder="1" applyAlignment="1">
      <alignment horizontal="left" vertical="center" wrapText="1"/>
    </xf>
    <xf numFmtId="0" fontId="25" fillId="22" borderId="21" xfId="0" applyFont="1" applyFill="1" applyBorder="1" applyAlignment="1">
      <alignment horizontal="center" vertical="center" wrapText="1"/>
    </xf>
    <xf numFmtId="0" fontId="25" fillId="22" borderId="5" xfId="0" applyFont="1" applyFill="1" applyBorder="1" applyAlignment="1">
      <alignment horizontal="center" vertical="center" wrapText="1"/>
    </xf>
    <xf numFmtId="0" fontId="25" fillId="23" borderId="21" xfId="0" applyFont="1" applyFill="1" applyBorder="1" applyAlignment="1">
      <alignment horizontal="center" vertical="center" wrapText="1"/>
    </xf>
    <xf numFmtId="0" fontId="25" fillId="23" borderId="5" xfId="0" applyFont="1" applyFill="1" applyBorder="1" applyAlignment="1">
      <alignment horizontal="center" vertical="center" wrapText="1"/>
    </xf>
    <xf numFmtId="0" fontId="25" fillId="23" borderId="5" xfId="0" applyFont="1" applyFill="1" applyBorder="1" applyAlignment="1">
      <alignment horizontal="left" vertical="center" wrapText="1"/>
    </xf>
    <xf numFmtId="0" fontId="25" fillId="24" borderId="21" xfId="0" applyFont="1" applyFill="1" applyBorder="1" applyAlignment="1">
      <alignment horizontal="center" vertical="center" wrapText="1"/>
    </xf>
    <xf numFmtId="0" fontId="25" fillId="24" borderId="5" xfId="0" applyFont="1" applyFill="1" applyBorder="1" applyAlignment="1">
      <alignment horizontal="center" vertical="center" wrapText="1"/>
    </xf>
    <xf numFmtId="0" fontId="25" fillId="24" borderId="5" xfId="0" applyFont="1" applyFill="1" applyBorder="1" applyAlignment="1">
      <alignment horizontal="left" vertical="center" wrapText="1"/>
    </xf>
    <xf numFmtId="0" fontId="25" fillId="24" borderId="7" xfId="0" applyFont="1" applyFill="1" applyBorder="1" applyAlignment="1">
      <alignment horizontal="left" vertical="center" wrapText="1"/>
    </xf>
    <xf numFmtId="0" fontId="25" fillId="25" borderId="21" xfId="0" applyFont="1" applyFill="1" applyBorder="1" applyAlignment="1">
      <alignment horizontal="center" vertical="center" wrapText="1"/>
    </xf>
    <xf numFmtId="0" fontId="25" fillId="25" borderId="5" xfId="0" applyFont="1" applyFill="1" applyBorder="1" applyAlignment="1">
      <alignment horizontal="center" vertical="center" wrapText="1"/>
    </xf>
    <xf numFmtId="0" fontId="25" fillId="25" borderId="5" xfId="0" applyFont="1" applyFill="1" applyBorder="1" applyAlignment="1">
      <alignment horizontal="left" vertical="center" wrapText="1"/>
    </xf>
    <xf numFmtId="0" fontId="25" fillId="26" borderId="21" xfId="0" applyFont="1" applyFill="1" applyBorder="1" applyAlignment="1">
      <alignment horizontal="center" vertical="center" wrapText="1"/>
    </xf>
    <xf numFmtId="0" fontId="25" fillId="26" borderId="5" xfId="0" applyFont="1" applyFill="1" applyBorder="1" applyAlignment="1">
      <alignment horizontal="center" vertical="center" wrapText="1"/>
    </xf>
    <xf numFmtId="0" fontId="25" fillId="26" borderId="5" xfId="0" applyFont="1" applyFill="1" applyBorder="1" applyAlignment="1">
      <alignment horizontal="left" vertical="center" wrapText="1"/>
    </xf>
    <xf numFmtId="0" fontId="25" fillId="27" borderId="21" xfId="0" applyFont="1" applyFill="1" applyBorder="1" applyAlignment="1">
      <alignment horizontal="center" vertical="center" wrapText="1"/>
    </xf>
    <xf numFmtId="0" fontId="25" fillId="27" borderId="5" xfId="0" applyFont="1" applyFill="1" applyBorder="1" applyAlignment="1">
      <alignment horizontal="center" vertical="center" wrapText="1"/>
    </xf>
    <xf numFmtId="0" fontId="25" fillId="27" borderId="5" xfId="0" applyFont="1" applyFill="1" applyBorder="1" applyAlignment="1">
      <alignment horizontal="left" vertical="center" wrapText="1"/>
    </xf>
    <xf numFmtId="0" fontId="25" fillId="27" borderId="30" xfId="0" applyFont="1" applyFill="1" applyBorder="1" applyAlignment="1">
      <alignment horizontal="center" vertical="center" wrapText="1"/>
    </xf>
    <xf numFmtId="0" fontId="25" fillId="27" borderId="31" xfId="0" applyFont="1" applyFill="1" applyBorder="1" applyAlignment="1">
      <alignment horizontal="center" vertical="center" wrapText="1"/>
    </xf>
    <xf numFmtId="0" fontId="25" fillId="27" borderId="31" xfId="0" applyFont="1" applyFill="1" applyBorder="1" applyAlignment="1">
      <alignment horizontal="left" vertical="center" wrapText="1"/>
    </xf>
    <xf numFmtId="0" fontId="19" fillId="0" borderId="0" xfId="0" applyFont="1" applyAlignment="1">
      <alignment horizontal="right" vertical="center" wrapText="1"/>
    </xf>
    <xf numFmtId="0" fontId="26" fillId="0" borderId="28" xfId="0" applyFont="1" applyBorder="1" applyAlignment="1">
      <alignment horizontal="right" vertical="center" wrapText="1"/>
    </xf>
    <xf numFmtId="0" fontId="25" fillId="22" borderId="29" xfId="0" applyFont="1" applyFill="1" applyBorder="1" applyAlignment="1">
      <alignment horizontal="right" vertical="center" wrapText="1"/>
    </xf>
    <xf numFmtId="0" fontId="25" fillId="23" borderId="29" xfId="0" applyFont="1" applyFill="1" applyBorder="1" applyAlignment="1">
      <alignment horizontal="right" vertical="center" wrapText="1"/>
    </xf>
    <xf numFmtId="0" fontId="25" fillId="24" borderId="29" xfId="0" applyFont="1" applyFill="1" applyBorder="1" applyAlignment="1">
      <alignment horizontal="right" vertical="center" wrapText="1"/>
    </xf>
    <xf numFmtId="0" fontId="25" fillId="24" borderId="39" xfId="0" applyFont="1" applyFill="1" applyBorder="1" applyAlignment="1">
      <alignment horizontal="right" vertical="center" wrapText="1"/>
    </xf>
    <xf numFmtId="0" fontId="29" fillId="25" borderId="29" xfId="0" applyFont="1" applyFill="1" applyBorder="1" applyAlignment="1">
      <alignment horizontal="right" vertical="center" wrapText="1"/>
    </xf>
    <xf numFmtId="0" fontId="29" fillId="26" borderId="29" xfId="0" applyFont="1" applyFill="1" applyBorder="1" applyAlignment="1">
      <alignment horizontal="right" vertical="center" wrapText="1"/>
    </xf>
    <xf numFmtId="0" fontId="29" fillId="27" borderId="29" xfId="0" applyFont="1" applyFill="1" applyBorder="1" applyAlignment="1">
      <alignment horizontal="right" vertical="center" wrapText="1"/>
    </xf>
    <xf numFmtId="0" fontId="29" fillId="27" borderId="32" xfId="0" applyFont="1" applyFill="1" applyBorder="1" applyAlignment="1">
      <alignment horizontal="right" vertical="center" wrapText="1"/>
    </xf>
    <xf numFmtId="0" fontId="0" fillId="0" borderId="0" xfId="0" applyAlignment="1">
      <alignment wrapText="1"/>
    </xf>
    <xf numFmtId="0" fontId="25" fillId="0" borderId="5" xfId="0" applyFont="1" applyBorder="1" applyAlignment="1">
      <alignment horizontal="left" vertical="center" wrapText="1"/>
    </xf>
    <xf numFmtId="0" fontId="25" fillId="0" borderId="5" xfId="0" applyFont="1" applyBorder="1" applyAlignment="1">
      <alignment horizontal="center" vertical="center" wrapText="1"/>
    </xf>
    <xf numFmtId="0" fontId="8" fillId="0" borderId="0" xfId="3" applyFill="1" applyAlignment="1">
      <alignment wrapText="1"/>
    </xf>
    <xf numFmtId="0" fontId="8" fillId="0" borderId="0" xfId="3" applyAlignment="1">
      <alignment wrapText="1"/>
    </xf>
    <xf numFmtId="14" fontId="0" fillId="0" borderId="0" xfId="0" applyNumberFormat="1" applyAlignment="1">
      <alignment wrapText="1"/>
    </xf>
    <xf numFmtId="166" fontId="0" fillId="0" borderId="0" xfId="0" applyNumberFormat="1" applyAlignment="1">
      <alignment wrapText="1"/>
    </xf>
    <xf numFmtId="0" fontId="8" fillId="0" borderId="0" xfId="3"/>
    <xf numFmtId="14" fontId="0" fillId="0" borderId="0" xfId="0" applyNumberFormat="1"/>
    <xf numFmtId="0" fontId="30" fillId="0" borderId="0" xfId="0" applyFont="1" applyAlignment="1">
      <alignment horizontal="center" vertical="center"/>
    </xf>
    <xf numFmtId="0" fontId="30" fillId="0" borderId="0" xfId="0" applyFont="1" applyAlignment="1">
      <alignment horizontal="center" vertical="center" wrapText="1"/>
    </xf>
    <xf numFmtId="0" fontId="30" fillId="0" borderId="0" xfId="0" applyFont="1" applyAlignment="1">
      <alignment vertical="center"/>
    </xf>
    <xf numFmtId="0" fontId="5" fillId="0" borderId="14"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11" xfId="0" applyFont="1" applyBorder="1" applyAlignment="1">
      <alignment horizontal="center" vertical="center" wrapText="1"/>
    </xf>
    <xf numFmtId="0" fontId="30" fillId="0" borderId="11" xfId="0" applyFont="1" applyBorder="1" applyAlignment="1">
      <alignment horizontal="center" vertical="center"/>
    </xf>
    <xf numFmtId="14" fontId="30" fillId="0" borderId="14" xfId="0" applyNumberFormat="1" applyFont="1" applyBorder="1" applyAlignment="1">
      <alignment vertical="center"/>
    </xf>
    <xf numFmtId="0" fontId="5" fillId="0" borderId="11" xfId="0" applyFont="1" applyBorder="1" applyAlignment="1">
      <alignment horizontal="center" vertical="center" wrapText="1"/>
    </xf>
    <xf numFmtId="0" fontId="8" fillId="0" borderId="14" xfId="3" applyBorder="1" applyAlignment="1">
      <alignment horizontal="center" vertical="center"/>
    </xf>
    <xf numFmtId="0" fontId="8" fillId="0" borderId="14" xfId="3" applyBorder="1" applyAlignment="1">
      <alignment horizontal="center" vertical="center" wrapText="1"/>
    </xf>
    <xf numFmtId="0" fontId="31" fillId="9" borderId="14" xfId="0" applyFont="1" applyFill="1" applyBorder="1" applyAlignment="1">
      <alignment horizontal="center" vertical="center" wrapText="1"/>
    </xf>
    <xf numFmtId="0" fontId="30" fillId="0" borderId="42" xfId="0" applyFont="1" applyBorder="1" applyAlignment="1">
      <alignment horizontal="center" vertical="center"/>
    </xf>
    <xf numFmtId="0" fontId="31" fillId="9" borderId="47" xfId="0" applyFont="1" applyFill="1" applyBorder="1" applyAlignment="1">
      <alignment horizontal="center" vertical="center" wrapText="1"/>
    </xf>
    <xf numFmtId="0" fontId="5" fillId="0" borderId="46" xfId="0" applyFont="1" applyBorder="1" applyAlignment="1">
      <alignment horizontal="center" vertical="center" wrapText="1"/>
    </xf>
    <xf numFmtId="0" fontId="30" fillId="0" borderId="47" xfId="0" applyFont="1" applyBorder="1" applyAlignment="1">
      <alignment horizontal="center" vertical="center"/>
    </xf>
    <xf numFmtId="0" fontId="5" fillId="0" borderId="48" xfId="0" applyFont="1" applyBorder="1" applyAlignment="1">
      <alignment horizontal="center" vertical="center" wrapText="1"/>
    </xf>
    <xf numFmtId="0" fontId="5" fillId="0" borderId="49" xfId="0" applyFont="1" applyBorder="1" applyAlignment="1">
      <alignment horizontal="center" vertical="center" wrapText="1"/>
    </xf>
    <xf numFmtId="0" fontId="30" fillId="0" borderId="49" xfId="0" applyFont="1" applyBorder="1" applyAlignment="1">
      <alignment horizontal="center" vertical="center" wrapText="1"/>
    </xf>
    <xf numFmtId="0" fontId="8" fillId="0" borderId="49" xfId="3" applyBorder="1" applyAlignment="1">
      <alignment horizontal="center" vertical="center"/>
    </xf>
    <xf numFmtId="0" fontId="31" fillId="9" borderId="42" xfId="0" applyFont="1" applyFill="1" applyBorder="1" applyAlignment="1">
      <alignment horizontal="center" vertical="center" wrapText="1"/>
    </xf>
    <xf numFmtId="0" fontId="5" fillId="0" borderId="41" xfId="0" applyFont="1" applyBorder="1" applyAlignment="1">
      <alignment horizontal="center" vertical="center" wrapText="1"/>
    </xf>
    <xf numFmtId="14" fontId="30" fillId="0" borderId="41" xfId="0" applyNumberFormat="1" applyFont="1" applyBorder="1" applyAlignment="1">
      <alignment vertical="center"/>
    </xf>
    <xf numFmtId="0" fontId="30" fillId="0" borderId="46" xfId="0" applyFont="1" applyBorder="1" applyAlignment="1">
      <alignment horizontal="center" vertical="center"/>
    </xf>
    <xf numFmtId="14" fontId="30" fillId="0" borderId="47" xfId="0" applyNumberFormat="1" applyFont="1" applyBorder="1" applyAlignment="1">
      <alignment horizontal="center" vertical="center"/>
    </xf>
    <xf numFmtId="0" fontId="30" fillId="0" borderId="53" xfId="0" applyFont="1" applyBorder="1" applyAlignment="1">
      <alignment horizontal="center" vertical="center"/>
    </xf>
    <xf numFmtId="0" fontId="33" fillId="0" borderId="47" xfId="0" applyFont="1" applyBorder="1" applyAlignment="1">
      <alignment horizontal="center" vertical="center"/>
    </xf>
    <xf numFmtId="0" fontId="30" fillId="0" borderId="48" xfId="0" applyFont="1" applyBorder="1" applyAlignment="1">
      <alignment horizontal="center" vertical="center"/>
    </xf>
    <xf numFmtId="14" fontId="30" fillId="0" borderId="49" xfId="0" applyNumberFormat="1" applyFont="1" applyBorder="1" applyAlignment="1">
      <alignment vertical="center"/>
    </xf>
    <xf numFmtId="0" fontId="33" fillId="0" borderId="50" xfId="0" applyFont="1" applyBorder="1" applyAlignment="1">
      <alignment horizontal="center" vertical="center"/>
    </xf>
    <xf numFmtId="0" fontId="5" fillId="0" borderId="42" xfId="0" applyFont="1" applyBorder="1" applyAlignment="1">
      <alignment horizontal="center" vertical="center" wrapText="1"/>
    </xf>
    <xf numFmtId="0" fontId="5" fillId="0" borderId="56" xfId="0" applyFont="1" applyBorder="1" applyAlignment="1">
      <alignment horizontal="center" vertical="center" wrapText="1"/>
    </xf>
    <xf numFmtId="0" fontId="5" fillId="0" borderId="47" xfId="0" applyFont="1" applyBorder="1" applyAlignment="1">
      <alignment horizontal="center" vertical="center" wrapText="1"/>
    </xf>
    <xf numFmtId="0" fontId="5" fillId="0" borderId="58" xfId="0" applyFont="1" applyBorder="1" applyAlignment="1">
      <alignment horizontal="center" vertical="center" wrapText="1"/>
    </xf>
    <xf numFmtId="0" fontId="5" fillId="0" borderId="50" xfId="0" applyFont="1" applyBorder="1" applyAlignment="1">
      <alignment horizontal="center" vertical="center" wrapText="1"/>
    </xf>
    <xf numFmtId="0" fontId="30" fillId="0" borderId="51" xfId="0" applyFont="1" applyBorder="1" applyAlignment="1">
      <alignment horizontal="center" vertical="center"/>
    </xf>
    <xf numFmtId="0" fontId="30" fillId="0" borderId="56" xfId="0" applyFont="1" applyBorder="1" applyAlignment="1">
      <alignment horizontal="center" vertical="center"/>
    </xf>
    <xf numFmtId="0" fontId="30" fillId="0" borderId="47" xfId="0" applyFont="1" applyBorder="1" applyAlignment="1">
      <alignment horizontal="center" vertical="center" wrapText="1"/>
    </xf>
    <xf numFmtId="0" fontId="32" fillId="9" borderId="48" xfId="0" applyFont="1" applyFill="1" applyBorder="1" applyAlignment="1">
      <alignment horizontal="center" vertical="center"/>
    </xf>
    <xf numFmtId="0" fontId="31" fillId="9" borderId="49" xfId="0" applyFont="1" applyFill="1" applyBorder="1" applyAlignment="1">
      <alignment horizontal="center" vertical="center" wrapText="1"/>
    </xf>
    <xf numFmtId="0" fontId="31" fillId="9" borderId="50" xfId="0" applyFont="1" applyFill="1" applyBorder="1" applyAlignment="1">
      <alignment horizontal="center" vertical="center" wrapText="1"/>
    </xf>
    <xf numFmtId="0" fontId="34" fillId="9" borderId="14" xfId="0" applyFont="1" applyFill="1" applyBorder="1" applyAlignment="1">
      <alignment horizontal="center" vertical="center" wrapText="1"/>
    </xf>
    <xf numFmtId="0" fontId="34" fillId="9" borderId="47" xfId="0" applyFont="1" applyFill="1" applyBorder="1" applyAlignment="1">
      <alignment horizontal="center" vertical="center" wrapText="1"/>
    </xf>
    <xf numFmtId="0" fontId="30" fillId="0" borderId="59" xfId="0" applyFont="1" applyBorder="1" applyAlignment="1">
      <alignment horizontal="center" vertical="center" wrapText="1"/>
    </xf>
    <xf numFmtId="0" fontId="30" fillId="0" borderId="50" xfId="0" applyFont="1" applyBorder="1" applyAlignment="1">
      <alignment horizontal="center" vertical="center" wrapText="1"/>
    </xf>
    <xf numFmtId="0" fontId="31" fillId="9" borderId="11" xfId="0" applyFont="1" applyFill="1" applyBorder="1" applyAlignment="1">
      <alignment horizontal="center" vertical="center" wrapText="1"/>
    </xf>
    <xf numFmtId="0" fontId="30" fillId="0" borderId="62" xfId="0" applyFont="1" applyBorder="1" applyAlignment="1">
      <alignment horizontal="center" vertical="center"/>
    </xf>
    <xf numFmtId="0" fontId="32" fillId="9" borderId="52" xfId="0" applyFont="1" applyFill="1" applyBorder="1" applyAlignment="1">
      <alignment horizontal="center" vertical="center"/>
    </xf>
    <xf numFmtId="0" fontId="31" fillId="9" borderId="40" xfId="0" applyFont="1" applyFill="1" applyBorder="1" applyAlignment="1">
      <alignment horizontal="center" vertical="center" wrapText="1"/>
    </xf>
    <xf numFmtId="14" fontId="30" fillId="0" borderId="14" xfId="0" applyNumberFormat="1" applyFont="1" applyBorder="1" applyAlignment="1">
      <alignment horizontal="center" vertical="center" wrapText="1"/>
    </xf>
    <xf numFmtId="0" fontId="31" fillId="9" borderId="57" xfId="0" applyFont="1" applyFill="1" applyBorder="1" applyAlignment="1">
      <alignment horizontal="center" vertical="center" wrapText="1"/>
    </xf>
    <xf numFmtId="0" fontId="30" fillId="0" borderId="60" xfId="0" applyFont="1" applyBorder="1" applyAlignment="1">
      <alignment horizontal="center" vertical="center"/>
    </xf>
    <xf numFmtId="0" fontId="31" fillId="9" borderId="52" xfId="0" applyFont="1" applyFill="1" applyBorder="1" applyAlignment="1">
      <alignment horizontal="center" vertical="center" wrapText="1"/>
    </xf>
    <xf numFmtId="0" fontId="34" fillId="9" borderId="40" xfId="0" applyFont="1" applyFill="1" applyBorder="1" applyAlignment="1">
      <alignment horizontal="center" vertical="center" wrapText="1"/>
    </xf>
    <xf numFmtId="0" fontId="31" fillId="9" borderId="54" xfId="0" applyFont="1" applyFill="1" applyBorder="1" applyAlignment="1">
      <alignment horizontal="center" vertical="center" wrapText="1"/>
    </xf>
    <xf numFmtId="0" fontId="30" fillId="0" borderId="46" xfId="0" applyFont="1" applyBorder="1" applyAlignment="1">
      <alignment horizontal="center" vertical="center" wrapText="1"/>
    </xf>
    <xf numFmtId="0" fontId="30" fillId="0" borderId="48" xfId="0" applyFont="1" applyBorder="1" applyAlignment="1">
      <alignment horizontal="center" vertical="center" wrapText="1"/>
    </xf>
    <xf numFmtId="0" fontId="5" fillId="0" borderId="62" xfId="0" applyFont="1" applyBorder="1" applyAlignment="1">
      <alignment horizontal="center" vertical="center" wrapText="1"/>
    </xf>
    <xf numFmtId="14" fontId="30" fillId="0" borderId="49" xfId="0" applyNumberFormat="1" applyFont="1" applyBorder="1" applyAlignment="1">
      <alignment horizontal="center" vertical="center" wrapText="1"/>
    </xf>
    <xf numFmtId="0" fontId="34" fillId="9" borderId="54" xfId="0" applyFont="1" applyFill="1" applyBorder="1" applyAlignment="1">
      <alignment horizontal="center" vertical="center" wrapText="1"/>
    </xf>
    <xf numFmtId="0" fontId="8" fillId="0" borderId="49" xfId="3" applyBorder="1" applyAlignment="1">
      <alignment horizontal="center" vertical="center" wrapText="1"/>
    </xf>
    <xf numFmtId="0" fontId="30" fillId="0" borderId="62" xfId="0" applyFont="1" applyBorder="1" applyAlignment="1">
      <alignment horizontal="center" vertical="center" wrapText="1"/>
    </xf>
    <xf numFmtId="0" fontId="8" fillId="0" borderId="0" xfId="3" applyAlignment="1"/>
    <xf numFmtId="0" fontId="8" fillId="0" borderId="0" xfId="3" applyAlignment="1">
      <alignment vertical="center"/>
    </xf>
    <xf numFmtId="0" fontId="11" fillId="7" borderId="11" xfId="0" applyFont="1" applyFill="1" applyBorder="1" applyAlignment="1">
      <alignment horizontal="left" vertical="center" wrapText="1"/>
    </xf>
    <xf numFmtId="0" fontId="11" fillId="7" borderId="12" xfId="0" applyFont="1" applyFill="1" applyBorder="1" applyAlignment="1">
      <alignment horizontal="left" vertical="center" wrapText="1"/>
    </xf>
    <xf numFmtId="0" fontId="11" fillId="7" borderId="0" xfId="0" applyFont="1" applyFill="1" applyAlignment="1">
      <alignment horizontal="left" vertical="center" wrapText="1"/>
    </xf>
    <xf numFmtId="0" fontId="11" fillId="7" borderId="17" xfId="0" applyFont="1" applyFill="1" applyBorder="1" applyAlignment="1">
      <alignment horizontal="left" vertical="center" wrapText="1"/>
    </xf>
    <xf numFmtId="0" fontId="13" fillId="8" borderId="10" xfId="0" applyFont="1" applyFill="1" applyBorder="1" applyAlignment="1">
      <alignment horizontal="left" vertical="center" wrapText="1"/>
    </xf>
    <xf numFmtId="0" fontId="5" fillId="8" borderId="0" xfId="0" applyFont="1" applyFill="1" applyAlignment="1">
      <alignment horizontal="left" vertical="center" wrapText="1"/>
    </xf>
    <xf numFmtId="0" fontId="13" fillId="9" borderId="10" xfId="0" applyFont="1" applyFill="1" applyBorder="1" applyAlignment="1">
      <alignment horizontal="left" vertical="center" wrapText="1"/>
    </xf>
    <xf numFmtId="0" fontId="5" fillId="9" borderId="0" xfId="0" applyFont="1" applyFill="1" applyAlignment="1">
      <alignment horizontal="left" vertical="center" wrapText="1"/>
    </xf>
    <xf numFmtId="0" fontId="6" fillId="0" borderId="0" xfId="0" applyFont="1" applyAlignment="1">
      <alignment horizontal="center" vertical="center" wrapText="1"/>
    </xf>
    <xf numFmtId="0" fontId="11" fillId="6" borderId="11"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15" xfId="0" applyFont="1" applyFill="1" applyBorder="1" applyAlignment="1">
      <alignment horizontal="left" vertical="center" wrapText="1"/>
    </xf>
    <xf numFmtId="0" fontId="11" fillId="6" borderId="16" xfId="0" applyFont="1" applyFill="1" applyBorder="1" applyAlignment="1">
      <alignment horizontal="left" vertical="center" wrapText="1"/>
    </xf>
    <xf numFmtId="0" fontId="11" fillId="5" borderId="11" xfId="0" applyFont="1" applyFill="1" applyBorder="1" applyAlignment="1">
      <alignment horizontal="left" vertical="center" wrapText="1"/>
    </xf>
    <xf numFmtId="0" fontId="11" fillId="5" borderId="12" xfId="0" applyFont="1" applyFill="1" applyBorder="1" applyAlignment="1">
      <alignment horizontal="left" vertical="center" wrapText="1"/>
    </xf>
    <xf numFmtId="0" fontId="11" fillId="5" borderId="0" xfId="0" applyFont="1" applyFill="1" applyAlignment="1">
      <alignment horizontal="left" vertical="center" wrapText="1"/>
    </xf>
    <xf numFmtId="0" fontId="11" fillId="5" borderId="17" xfId="0" applyFont="1" applyFill="1" applyBorder="1" applyAlignment="1">
      <alignment horizontal="left" vertical="center" wrapText="1"/>
    </xf>
    <xf numFmtId="0" fontId="11" fillId="3" borderId="11" xfId="0" applyFont="1" applyFill="1" applyBorder="1" applyAlignment="1">
      <alignment horizontal="left" vertical="center" wrapText="1"/>
    </xf>
    <xf numFmtId="0" fontId="11" fillId="3" borderId="12" xfId="0" applyFont="1" applyFill="1" applyBorder="1" applyAlignment="1">
      <alignment horizontal="left" vertical="center" wrapText="1"/>
    </xf>
    <xf numFmtId="0" fontId="11" fillId="3" borderId="0" xfId="0" applyFont="1" applyFill="1" applyAlignment="1">
      <alignment horizontal="left" vertical="center" wrapText="1"/>
    </xf>
    <xf numFmtId="0" fontId="11" fillId="3" borderId="17" xfId="0" applyFont="1" applyFill="1" applyBorder="1" applyAlignment="1">
      <alignment horizontal="left" vertical="center" wrapText="1"/>
    </xf>
    <xf numFmtId="0" fontId="14" fillId="0" borderId="18" xfId="0" applyFont="1" applyBorder="1" applyAlignment="1">
      <alignment wrapText="1"/>
    </xf>
    <xf numFmtId="0" fontId="14" fillId="0" borderId="19" xfId="0" applyFont="1" applyBorder="1" applyAlignment="1">
      <alignment wrapText="1"/>
    </xf>
    <xf numFmtId="0" fontId="16" fillId="11" borderId="6" xfId="0" applyFont="1" applyFill="1" applyBorder="1" applyAlignment="1">
      <alignment wrapText="1"/>
    </xf>
    <xf numFmtId="0" fontId="5" fillId="0" borderId="14" xfId="0" applyFont="1" applyBorder="1" applyAlignment="1">
      <alignment horizontal="center" vertical="center" wrapText="1"/>
    </xf>
    <xf numFmtId="0" fontId="31" fillId="28" borderId="43" xfId="0" applyFont="1" applyFill="1" applyBorder="1" applyAlignment="1">
      <alignment horizontal="center" vertical="center" wrapText="1"/>
    </xf>
    <xf numFmtId="0" fontId="31" fillId="28" borderId="44" xfId="0" applyFont="1" applyFill="1" applyBorder="1" applyAlignment="1">
      <alignment horizontal="center" vertical="center" wrapText="1"/>
    </xf>
    <xf numFmtId="0" fontId="31" fillId="28" borderId="45" xfId="0" applyFont="1" applyFill="1" applyBorder="1" applyAlignment="1">
      <alignment horizontal="center" vertical="center" wrapText="1"/>
    </xf>
    <xf numFmtId="0" fontId="35" fillId="0" borderId="0" xfId="0" applyFont="1" applyAlignment="1">
      <alignment horizontal="center" vertical="center"/>
    </xf>
    <xf numFmtId="0" fontId="36" fillId="0" borderId="0" xfId="0" applyFont="1" applyAlignment="1">
      <alignment horizontal="center" vertical="center"/>
    </xf>
    <xf numFmtId="0" fontId="5" fillId="0" borderId="42" xfId="0" applyFont="1" applyBorder="1" applyAlignment="1">
      <alignment horizontal="center" vertical="center" wrapText="1"/>
    </xf>
    <xf numFmtId="0" fontId="31" fillId="28" borderId="55" xfId="0" applyFont="1" applyFill="1" applyBorder="1" applyAlignment="1">
      <alignment horizontal="center" vertical="center" wrapText="1"/>
    </xf>
    <xf numFmtId="0" fontId="30" fillId="0" borderId="14" xfId="0" applyFont="1" applyBorder="1" applyAlignment="1">
      <alignment horizontal="center" vertical="center" wrapText="1"/>
    </xf>
    <xf numFmtId="0" fontId="30" fillId="0" borderId="14" xfId="0" applyFont="1" applyBorder="1" applyAlignment="1">
      <alignment horizontal="center" vertical="center"/>
    </xf>
    <xf numFmtId="0" fontId="8" fillId="0" borderId="14" xfId="3" applyBorder="1" applyAlignment="1">
      <alignment horizontal="center" vertical="center"/>
    </xf>
    <xf numFmtId="0" fontId="30" fillId="0" borderId="11" xfId="0" applyFont="1" applyBorder="1" applyAlignment="1">
      <alignment horizontal="center" vertical="center" wrapText="1"/>
    </xf>
    <xf numFmtId="0" fontId="30" fillId="0" borderId="11" xfId="0" applyFont="1" applyBorder="1" applyAlignment="1">
      <alignment horizontal="center" vertical="center"/>
    </xf>
    <xf numFmtId="0" fontId="30" fillId="0" borderId="53" xfId="0" applyFont="1" applyBorder="1" applyAlignment="1">
      <alignment horizontal="center" vertical="center"/>
    </xf>
    <xf numFmtId="0" fontId="30" fillId="0" borderId="52" xfId="0" applyFont="1" applyBorder="1" applyAlignment="1">
      <alignment horizontal="center" vertical="center"/>
    </xf>
    <xf numFmtId="0" fontId="30" fillId="0" borderId="46" xfId="0" applyFont="1" applyBorder="1" applyAlignment="1">
      <alignment horizontal="center" vertical="center"/>
    </xf>
    <xf numFmtId="14" fontId="30" fillId="0" borderId="42" xfId="0" applyNumberFormat="1" applyFont="1" applyBorder="1" applyAlignment="1">
      <alignment horizontal="center" vertical="center"/>
    </xf>
    <xf numFmtId="0" fontId="30" fillId="0" borderId="42" xfId="0" applyFont="1" applyBorder="1" applyAlignment="1">
      <alignment horizontal="center" vertical="center"/>
    </xf>
    <xf numFmtId="0" fontId="30" fillId="0" borderId="47" xfId="0" applyFont="1" applyBorder="1" applyAlignment="1">
      <alignment horizontal="center" vertical="center"/>
    </xf>
    <xf numFmtId="0" fontId="30" fillId="0" borderId="57" xfId="0" applyFont="1" applyBorder="1" applyAlignment="1">
      <alignment horizontal="center" vertical="center"/>
    </xf>
    <xf numFmtId="14" fontId="30" fillId="0" borderId="47" xfId="0" applyNumberFormat="1" applyFont="1" applyBorder="1" applyAlignment="1">
      <alignment horizontal="center" vertical="center"/>
    </xf>
    <xf numFmtId="0" fontId="30" fillId="0" borderId="58" xfId="0" applyFont="1" applyBorder="1" applyAlignment="1">
      <alignment horizontal="center" vertical="center" wrapText="1"/>
    </xf>
    <xf numFmtId="0" fontId="30" fillId="0" borderId="59" xfId="0" applyFont="1" applyBorder="1" applyAlignment="1">
      <alignment horizontal="center" vertical="center" wrapText="1"/>
    </xf>
    <xf numFmtId="0" fontId="30" fillId="0" borderId="59" xfId="0" applyFont="1" applyBorder="1" applyAlignment="1">
      <alignment horizontal="center" vertical="center"/>
    </xf>
    <xf numFmtId="0" fontId="31" fillId="28" borderId="61" xfId="0" applyFont="1" applyFill="1" applyBorder="1" applyAlignment="1">
      <alignment horizontal="center" vertical="center" wrapText="1"/>
    </xf>
    <xf numFmtId="0" fontId="30" fillId="0" borderId="16" xfId="0" applyFont="1" applyBorder="1" applyAlignment="1">
      <alignment horizontal="center" vertical="center"/>
    </xf>
    <xf numFmtId="14" fontId="30" fillId="0" borderId="14" xfId="0" applyNumberFormat="1" applyFont="1" applyBorder="1" applyAlignment="1">
      <alignment horizontal="center" vertical="center"/>
    </xf>
    <xf numFmtId="0" fontId="30" fillId="0" borderId="40" xfId="0" applyFont="1" applyBorder="1" applyAlignment="1">
      <alignment horizontal="center" vertical="center"/>
    </xf>
    <xf numFmtId="0" fontId="24" fillId="0" borderId="0" xfId="0" applyFont="1" applyAlignment="1">
      <alignment horizontal="center" wrapText="1"/>
    </xf>
    <xf numFmtId="0" fontId="24" fillId="0" borderId="0" xfId="0" applyFont="1" applyAlignment="1">
      <alignment horizontal="center" vertical="center" wrapText="1"/>
    </xf>
    <xf numFmtId="0" fontId="15" fillId="10" borderId="2" xfId="0" applyFont="1" applyFill="1" applyBorder="1" applyAlignment="1"/>
    <xf numFmtId="0" fontId="15" fillId="10" borderId="6" xfId="0" applyFont="1" applyFill="1" applyBorder="1" applyAlignment="1"/>
    <xf numFmtId="0" fontId="15" fillId="10" borderId="20" xfId="0" applyFont="1" applyFill="1" applyBorder="1" applyAlignment="1"/>
  </cellXfs>
  <cellStyles count="4">
    <cellStyle name="Hipervínculo" xfId="2" builtinId="8"/>
    <cellStyle name="Hyperlink" xfId="3" xr:uid="{00000000-000B-0000-0000-000008000000}"/>
    <cellStyle name="Moneda" xfId="1" builtinId="4"/>
    <cellStyle name="Normal" xfId="0" builtinId="0"/>
  </cellStyles>
  <dxfs count="0"/>
  <tableStyles count="0" defaultTableStyle="TableStyleMedium2" defaultPivotStyle="PivotStyleLight16"/>
  <colors>
    <mruColors>
      <color rgb="FFD02CF5"/>
      <color rgb="FFDBA9E5"/>
      <color rgb="FFC58ED1"/>
      <color rgb="FFDAE2B2"/>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sergiosolanogarcia74@gmail.com" TargetMode="External"/><Relationship Id="rId21" Type="http://schemas.openxmlformats.org/officeDocument/2006/relationships/hyperlink" Target="mailto:arlette.almanza.mendez@upvm.edu.mx" TargetMode="External"/><Relationship Id="rId42" Type="http://schemas.openxmlformats.org/officeDocument/2006/relationships/hyperlink" Target="mailto:blanca_jasmin_garcia.mct@tesco.edu.mx" TargetMode="External"/><Relationship Id="rId63" Type="http://schemas.openxmlformats.org/officeDocument/2006/relationships/hyperlink" Target="mailto:hugo.marint@hotmail.com" TargetMode="External"/><Relationship Id="rId84" Type="http://schemas.openxmlformats.org/officeDocument/2006/relationships/hyperlink" Target="mailto:bt.jenromero@gmail.com" TargetMode="External"/><Relationship Id="rId138" Type="http://schemas.openxmlformats.org/officeDocument/2006/relationships/hyperlink" Target="mailto:202021443@tese.edu.mx" TargetMode="External"/><Relationship Id="rId107" Type="http://schemas.openxmlformats.org/officeDocument/2006/relationships/hyperlink" Target="mailto:ever.dan.100@gmail.com" TargetMode="External"/><Relationship Id="rId11" Type="http://schemas.openxmlformats.org/officeDocument/2006/relationships/hyperlink" Target="mailto:danielluna6a@hotmail.com" TargetMode="External"/><Relationship Id="rId32" Type="http://schemas.openxmlformats.org/officeDocument/2006/relationships/hyperlink" Target="mailto:socialrobotics1@gmail.com" TargetMode="External"/><Relationship Id="rId53" Type="http://schemas.openxmlformats.org/officeDocument/2006/relationships/hyperlink" Target="mailto:brenda.iqu@tesco.edu.mx" TargetMode="External"/><Relationship Id="rId74" Type="http://schemas.openxmlformats.org/officeDocument/2006/relationships/hyperlink" Target="mailto:ana_karentr2704@hotmail.com" TargetMode="External"/><Relationship Id="rId128" Type="http://schemas.openxmlformats.org/officeDocument/2006/relationships/hyperlink" Target="mailto:darianoro_11@live.com" TargetMode="External"/><Relationship Id="rId149" Type="http://schemas.openxmlformats.org/officeDocument/2006/relationships/hyperlink" Target="mailto:jobtrouble@gmail.com" TargetMode="External"/><Relationship Id="rId5" Type="http://schemas.openxmlformats.org/officeDocument/2006/relationships/hyperlink" Target="mailto:askis.isra1997@gmail.com" TargetMode="External"/><Relationship Id="rId95" Type="http://schemas.openxmlformats.org/officeDocument/2006/relationships/hyperlink" Target="mailto:Issac_loar@hotmail.com" TargetMode="External"/><Relationship Id="rId22" Type="http://schemas.openxmlformats.org/officeDocument/2006/relationships/hyperlink" Target="mailto:jaer.biotech@gmail.com" TargetMode="External"/><Relationship Id="rId27" Type="http://schemas.openxmlformats.org/officeDocument/2006/relationships/hyperlink" Target="mailto:blanca_jasmin_garcia.mct@tesco.edu.mx" TargetMode="External"/><Relationship Id="rId43" Type="http://schemas.openxmlformats.org/officeDocument/2006/relationships/hyperlink" Target="mailto:agustinplank042@gmail.com" TargetMode="External"/><Relationship Id="rId48" Type="http://schemas.openxmlformats.org/officeDocument/2006/relationships/hyperlink" Target="mailto:cortezsolisporfirio@gmail.com" TargetMode="External"/><Relationship Id="rId64" Type="http://schemas.openxmlformats.org/officeDocument/2006/relationships/hyperlink" Target="mailto:aldo.darienmartinezmontiel@gmail.com" TargetMode="External"/><Relationship Id="rId69" Type="http://schemas.openxmlformats.org/officeDocument/2006/relationships/hyperlink" Target="mailto:gmedelm001@alumno.uaemex.mx" TargetMode="External"/><Relationship Id="rId113" Type="http://schemas.openxmlformats.org/officeDocument/2006/relationships/hyperlink" Target="mailto:devoradium@hotmail.com" TargetMode="External"/><Relationship Id="rId118" Type="http://schemas.openxmlformats.org/officeDocument/2006/relationships/hyperlink" Target="mailto:samiretfcc@gmail.com" TargetMode="External"/><Relationship Id="rId134" Type="http://schemas.openxmlformats.org/officeDocument/2006/relationships/hyperlink" Target="mailto:Issac_loar@hotmail.com" TargetMode="External"/><Relationship Id="rId139" Type="http://schemas.openxmlformats.org/officeDocument/2006/relationships/hyperlink" Target="mailto:jczp13tm@gmail.com" TargetMode="External"/><Relationship Id="rId80" Type="http://schemas.openxmlformats.org/officeDocument/2006/relationships/hyperlink" Target="mailto:clausmx14@gmail.com" TargetMode="External"/><Relationship Id="rId85" Type="http://schemas.openxmlformats.org/officeDocument/2006/relationships/hyperlink" Target="mailto:juampisgaratachia2020@gmail.com" TargetMode="External"/><Relationship Id="rId150" Type="http://schemas.openxmlformats.org/officeDocument/2006/relationships/hyperlink" Target="mailto:andreadiazgarduno@gmail.com" TargetMode="External"/><Relationship Id="rId12" Type="http://schemas.openxmlformats.org/officeDocument/2006/relationships/hyperlink" Target="mailto:20303064@utfv.edu.mx" TargetMode="External"/><Relationship Id="rId17" Type="http://schemas.openxmlformats.org/officeDocument/2006/relationships/hyperlink" Target="mailto:yeseniahernandezramirez@gmail.com" TargetMode="External"/><Relationship Id="rId33" Type="http://schemas.openxmlformats.org/officeDocument/2006/relationships/hyperlink" Target="mailto:voyage.prosthetics@gmail.com" TargetMode="External"/><Relationship Id="rId38" Type="http://schemas.openxmlformats.org/officeDocument/2006/relationships/hyperlink" Target="mailto:marisolhernandezgarcia28@gmail.com" TargetMode="External"/><Relationship Id="rId59" Type="http://schemas.openxmlformats.org/officeDocument/2006/relationships/hyperlink" Target="mailto:samuel.silvax@hotmail.com" TargetMode="External"/><Relationship Id="rId103" Type="http://schemas.openxmlformats.org/officeDocument/2006/relationships/hyperlink" Target="mailto:ivan_gc13@outlook.com" TargetMode="External"/><Relationship Id="rId108" Type="http://schemas.openxmlformats.org/officeDocument/2006/relationships/hyperlink" Target="mailto:danielaarcarrillo@gmail.com" TargetMode="External"/><Relationship Id="rId124" Type="http://schemas.openxmlformats.org/officeDocument/2006/relationships/hyperlink" Target="mailto:chriistian173@gmail.com" TargetMode="External"/><Relationship Id="rId129" Type="http://schemas.openxmlformats.org/officeDocument/2006/relationships/hyperlink" Target="mailto:ac5412834@gmail.com" TargetMode="External"/><Relationship Id="rId54" Type="http://schemas.openxmlformats.org/officeDocument/2006/relationships/hyperlink" Target="mailto:mariid100713@gmail.com" TargetMode="External"/><Relationship Id="rId70" Type="http://schemas.openxmlformats.org/officeDocument/2006/relationships/hyperlink" Target="mailto:jlopezc492@alumno.uaemex.mx" TargetMode="External"/><Relationship Id="rId75" Type="http://schemas.openxmlformats.org/officeDocument/2006/relationships/hyperlink" Target="mailto:mauriciogch2@gmail.com" TargetMode="External"/><Relationship Id="rId91" Type="http://schemas.openxmlformats.org/officeDocument/2006/relationships/hyperlink" Target="mailto:jesus.alberto.r.b.mx@gmail.com" TargetMode="External"/><Relationship Id="rId96" Type="http://schemas.openxmlformats.org/officeDocument/2006/relationships/hyperlink" Target="mailto:jdllanosesquivel@gmail.com" TargetMode="External"/><Relationship Id="rId140" Type="http://schemas.openxmlformats.org/officeDocument/2006/relationships/hyperlink" Target="mailto:jlobato156@gmail.com" TargetMode="External"/><Relationship Id="rId145" Type="http://schemas.openxmlformats.org/officeDocument/2006/relationships/hyperlink" Target="mailto:nancyym538@gmail.com" TargetMode="External"/><Relationship Id="rId1" Type="http://schemas.openxmlformats.org/officeDocument/2006/relationships/hyperlink" Target="mailto:ulisesesquivelcampuzano1@outlook.com" TargetMode="External"/><Relationship Id="rId6" Type="http://schemas.openxmlformats.org/officeDocument/2006/relationships/hyperlink" Target="mailto:irvingbretongarcia@gmail.com" TargetMode="External"/><Relationship Id="rId23" Type="http://schemas.openxmlformats.org/officeDocument/2006/relationships/hyperlink" Target="mailto:aliriro09@gmail.com" TargetMode="External"/><Relationship Id="rId28" Type="http://schemas.openxmlformats.org/officeDocument/2006/relationships/hyperlink" Target="mailto:agustinplank042@gmail.com" TargetMode="External"/><Relationship Id="rId49" Type="http://schemas.openxmlformats.org/officeDocument/2006/relationships/hyperlink" Target="mailto:daniel.biotechnologies@hotmail.com" TargetMode="External"/><Relationship Id="rId114" Type="http://schemas.openxmlformats.org/officeDocument/2006/relationships/hyperlink" Target="mailto:2022150030060@tesjo.edu.mx" TargetMode="External"/><Relationship Id="rId119" Type="http://schemas.openxmlformats.org/officeDocument/2006/relationships/hyperlink" Target="mailto:kofifernano@gmail.com" TargetMode="External"/><Relationship Id="rId44" Type="http://schemas.openxmlformats.org/officeDocument/2006/relationships/hyperlink" Target="mailto:anacit.gomez@gmail.com" TargetMode="External"/><Relationship Id="rId60" Type="http://schemas.openxmlformats.org/officeDocument/2006/relationships/hyperlink" Target="mailto:marbellairais.lc@gmail.com" TargetMode="External"/><Relationship Id="rId65" Type="http://schemas.openxmlformats.org/officeDocument/2006/relationships/hyperlink" Target="mailto:lgisela.gasca@gmail.com" TargetMode="External"/><Relationship Id="rId81" Type="http://schemas.openxmlformats.org/officeDocument/2006/relationships/hyperlink" Target="mailto:jorroberto99@gmail.com" TargetMode="External"/><Relationship Id="rId86" Type="http://schemas.openxmlformats.org/officeDocument/2006/relationships/hyperlink" Target="mailto:maribelquezada1226@gmail.com" TargetMode="External"/><Relationship Id="rId130" Type="http://schemas.openxmlformats.org/officeDocument/2006/relationships/hyperlink" Target="mailto:samantha.aguilerab@gmail.com" TargetMode="External"/><Relationship Id="rId135" Type="http://schemas.openxmlformats.org/officeDocument/2006/relationships/hyperlink" Target="mailto:cealcocera@gmail.comDatos%20de%20los%20integrantes%20del%20proyecto" TargetMode="External"/><Relationship Id="rId151" Type="http://schemas.openxmlformats.org/officeDocument/2006/relationships/hyperlink" Target="mailto:riosjimenez327@gmail.com" TargetMode="External"/><Relationship Id="rId13" Type="http://schemas.openxmlformats.org/officeDocument/2006/relationships/hyperlink" Target="mailto:maricruz17pch@gmail.com" TargetMode="External"/><Relationship Id="rId18" Type="http://schemas.openxmlformats.org/officeDocument/2006/relationships/hyperlink" Target="mailto:20313010@utfv.edu.mx" TargetMode="External"/><Relationship Id="rId39" Type="http://schemas.openxmlformats.org/officeDocument/2006/relationships/hyperlink" Target="mailto:jgarcia.biocienciasc@gmail.com" TargetMode="External"/><Relationship Id="rId109" Type="http://schemas.openxmlformats.org/officeDocument/2006/relationships/hyperlink" Target="mailto:voyage.prosthetics@gmail.com" TargetMode="External"/><Relationship Id="rId34" Type="http://schemas.openxmlformats.org/officeDocument/2006/relationships/hyperlink" Target="mailto:bionicdental3d@gmail.com" TargetMode="External"/><Relationship Id="rId50" Type="http://schemas.openxmlformats.org/officeDocument/2006/relationships/hyperlink" Target="mailto:derikroa@gmail.com" TargetMode="External"/><Relationship Id="rId55" Type="http://schemas.openxmlformats.org/officeDocument/2006/relationships/hyperlink" Target="mailto:luis.beltran0706@gmail.com" TargetMode="External"/><Relationship Id="rId76" Type="http://schemas.openxmlformats.org/officeDocument/2006/relationships/hyperlink" Target="mailto:danielmontielamador10@gmail.com" TargetMode="External"/><Relationship Id="rId97" Type="http://schemas.openxmlformats.org/officeDocument/2006/relationships/hyperlink" Target="mailto:migueldogo1996@gmail.com" TargetMode="External"/><Relationship Id="rId104" Type="http://schemas.openxmlformats.org/officeDocument/2006/relationships/hyperlink" Target="mailto:202121788@tese.edu.mx" TargetMode="External"/><Relationship Id="rId120" Type="http://schemas.openxmlformats.org/officeDocument/2006/relationships/hyperlink" Target="mailto:dxtert321@outlook.com" TargetMode="External"/><Relationship Id="rId125" Type="http://schemas.openxmlformats.org/officeDocument/2006/relationships/hyperlink" Target="mailto:Rubenciux_55@hotmail.com" TargetMode="External"/><Relationship Id="rId141" Type="http://schemas.openxmlformats.org/officeDocument/2006/relationships/hyperlink" Target="mailto:josecarlos25_6@hotmail.com" TargetMode="External"/><Relationship Id="rId146" Type="http://schemas.openxmlformats.org/officeDocument/2006/relationships/hyperlink" Target="mailto:daniela767gutierrez@gmail.com" TargetMode="External"/><Relationship Id="rId7" Type="http://schemas.openxmlformats.org/officeDocument/2006/relationships/hyperlink" Target="mailto:mariid100713@gmail.com" TargetMode="External"/><Relationship Id="rId71" Type="http://schemas.openxmlformats.org/officeDocument/2006/relationships/hyperlink" Target="mailto:hocg6toe@hotmail.com" TargetMode="External"/><Relationship Id="rId92" Type="http://schemas.openxmlformats.org/officeDocument/2006/relationships/hyperlink" Target="mailto:201720736@tese.edu.mx" TargetMode="External"/><Relationship Id="rId2" Type="http://schemas.openxmlformats.org/officeDocument/2006/relationships/hyperlink" Target="mailto:alegamedu@gmail.com" TargetMode="External"/><Relationship Id="rId29" Type="http://schemas.openxmlformats.org/officeDocument/2006/relationships/hyperlink" Target="mailto:anacit.gomez@gmail.com" TargetMode="External"/><Relationship Id="rId24" Type="http://schemas.openxmlformats.org/officeDocument/2006/relationships/hyperlink" Target="mailto:ingrid.mtz94.ib@gmail.com" TargetMode="External"/><Relationship Id="rId40" Type="http://schemas.openxmlformats.org/officeDocument/2006/relationships/hyperlink" Target="mailto:rhalex@hotmail.com" TargetMode="External"/><Relationship Id="rId45" Type="http://schemas.openxmlformats.org/officeDocument/2006/relationships/hyperlink" Target="mailto:casasalejandro443@gmail.com" TargetMode="External"/><Relationship Id="rId66" Type="http://schemas.openxmlformats.org/officeDocument/2006/relationships/hyperlink" Target="mailto:jessycanieto2015@gmail.com" TargetMode="External"/><Relationship Id="rId87" Type="http://schemas.openxmlformats.org/officeDocument/2006/relationships/hyperlink" Target="mailto:jes.caro.sibe@gmail.com" TargetMode="External"/><Relationship Id="rId110" Type="http://schemas.openxmlformats.org/officeDocument/2006/relationships/hyperlink" Target="mailto:alexrsancxez1234@gmail.com" TargetMode="External"/><Relationship Id="rId115" Type="http://schemas.openxmlformats.org/officeDocument/2006/relationships/hyperlink" Target="mailto:rouseegs1995@gmail.com" TargetMode="External"/><Relationship Id="rId131" Type="http://schemas.openxmlformats.org/officeDocument/2006/relationships/hyperlink" Target="mailto:alejandro.treran@gmail.com" TargetMode="External"/><Relationship Id="rId136" Type="http://schemas.openxmlformats.org/officeDocument/2006/relationships/hyperlink" Target="mailto:betoavgine1013@hotmail.com" TargetMode="External"/><Relationship Id="rId61" Type="http://schemas.openxmlformats.org/officeDocument/2006/relationships/hyperlink" Target="mailto:sanchezbon.p@gmail.com" TargetMode="External"/><Relationship Id="rId82" Type="http://schemas.openxmlformats.org/officeDocument/2006/relationships/hyperlink" Target="mailto:0cristhiannoname@gmail.com" TargetMode="External"/><Relationship Id="rId152" Type="http://schemas.openxmlformats.org/officeDocument/2006/relationships/printerSettings" Target="../printerSettings/printerSettings1.bin"/><Relationship Id="rId19" Type="http://schemas.openxmlformats.org/officeDocument/2006/relationships/hyperlink" Target="mailto:pachecocarlosluisenrique@gmail.com" TargetMode="External"/><Relationship Id="rId14" Type="http://schemas.openxmlformats.org/officeDocument/2006/relationships/hyperlink" Target="mailto:yael78578@gmail.com" TargetMode="External"/><Relationship Id="rId30" Type="http://schemas.openxmlformats.org/officeDocument/2006/relationships/hyperlink" Target="mailto:casasalejandro443@gmail.com" TargetMode="External"/><Relationship Id="rId35" Type="http://schemas.openxmlformats.org/officeDocument/2006/relationships/hyperlink" Target="mailto:maac_anzaldo@outlook.com" TargetMode="External"/><Relationship Id="rId56" Type="http://schemas.openxmlformats.org/officeDocument/2006/relationships/hyperlink" Target="mailto:alegamedu@gmail.com" TargetMode="External"/><Relationship Id="rId77" Type="http://schemas.openxmlformats.org/officeDocument/2006/relationships/hyperlink" Target="mailto:clauingelmo@hotmail.com" TargetMode="External"/><Relationship Id="rId100" Type="http://schemas.openxmlformats.org/officeDocument/2006/relationships/hyperlink" Target="mailto:xime281116@gmail.com" TargetMode="External"/><Relationship Id="rId105" Type="http://schemas.openxmlformats.org/officeDocument/2006/relationships/hyperlink" Target="mailto:maxvaav28@gmail.com" TargetMode="External"/><Relationship Id="rId126" Type="http://schemas.openxmlformats.org/officeDocument/2006/relationships/hyperlink" Target="mailto:abril.nava@anahuac.mx" TargetMode="External"/><Relationship Id="rId147" Type="http://schemas.openxmlformats.org/officeDocument/2006/relationships/hyperlink" Target="mailto:Wilder_montielbt@outlook.com" TargetMode="External"/><Relationship Id="rId8" Type="http://schemas.openxmlformats.org/officeDocument/2006/relationships/hyperlink" Target="mailto:madebionic@gmail.com" TargetMode="External"/><Relationship Id="rId51" Type="http://schemas.openxmlformats.org/officeDocument/2006/relationships/hyperlink" Target="mailto:kariglib@outlook.com" TargetMode="External"/><Relationship Id="rId72" Type="http://schemas.openxmlformats.org/officeDocument/2006/relationships/hyperlink" Target="mailto:arriagajuan23@gmail.com" TargetMode="External"/><Relationship Id="rId93" Type="http://schemas.openxmlformats.org/officeDocument/2006/relationships/hyperlink" Target="mailto:ximena_1321141513@uptecamac.edu.mx" TargetMode="External"/><Relationship Id="rId98" Type="http://schemas.openxmlformats.org/officeDocument/2006/relationships/hyperlink" Target="mailto:christianivan.proyecto@gmail.com" TargetMode="External"/><Relationship Id="rId121" Type="http://schemas.openxmlformats.org/officeDocument/2006/relationships/hyperlink" Target="mailto:cesarag676@gmail.com" TargetMode="External"/><Relationship Id="rId142" Type="http://schemas.openxmlformats.org/officeDocument/2006/relationships/hyperlink" Target="mailto:Beatriz.cano.8718@gmail.com" TargetMode="External"/><Relationship Id="rId3" Type="http://schemas.openxmlformats.org/officeDocument/2006/relationships/hyperlink" Target="mailto:leconabryan1103@gmail.com" TargetMode="External"/><Relationship Id="rId25" Type="http://schemas.openxmlformats.org/officeDocument/2006/relationships/hyperlink" Target="mailto:cbgg2505@gmail.com" TargetMode="External"/><Relationship Id="rId46" Type="http://schemas.openxmlformats.org/officeDocument/2006/relationships/hyperlink" Target="mailto:aracelisalinas252@gmail.com" TargetMode="External"/><Relationship Id="rId67" Type="http://schemas.openxmlformats.org/officeDocument/2006/relationships/hyperlink" Target="mailto:alcalam048@gmail.com" TargetMode="External"/><Relationship Id="rId116" Type="http://schemas.openxmlformats.org/officeDocument/2006/relationships/hyperlink" Target="mailto:franciscozuriell@gmail.com" TargetMode="External"/><Relationship Id="rId137" Type="http://schemas.openxmlformats.org/officeDocument/2006/relationships/hyperlink" Target="mailto:hannah130.flo@gmail.com" TargetMode="External"/><Relationship Id="rId20" Type="http://schemas.openxmlformats.org/officeDocument/2006/relationships/hyperlink" Target="mailto:da.ni.21.95@gmail.com" TargetMode="External"/><Relationship Id="rId41" Type="http://schemas.openxmlformats.org/officeDocument/2006/relationships/hyperlink" Target="mailto:gustavoalberto25821@outlook.es" TargetMode="External"/><Relationship Id="rId62" Type="http://schemas.openxmlformats.org/officeDocument/2006/relationships/hyperlink" Target="mailto:chito_216803@yahoo.com.mx" TargetMode="External"/><Relationship Id="rId83" Type="http://schemas.openxmlformats.org/officeDocument/2006/relationships/hyperlink" Target="mailto:201811364@tese.edu.mx" TargetMode="External"/><Relationship Id="rId88" Type="http://schemas.openxmlformats.org/officeDocument/2006/relationships/hyperlink" Target="mailto:myanezo001@alumno.uaemex.mx" TargetMode="External"/><Relationship Id="rId111" Type="http://schemas.openxmlformats.org/officeDocument/2006/relationships/hyperlink" Target="mailto:glbionic@outlook.com" TargetMode="External"/><Relationship Id="rId132" Type="http://schemas.openxmlformats.org/officeDocument/2006/relationships/hyperlink" Target="mailto:daniel.biotechnologies@hotmail.com" TargetMode="External"/><Relationship Id="rId15" Type="http://schemas.openxmlformats.org/officeDocument/2006/relationships/hyperlink" Target="mailto:issac_loar@hotmail.com" TargetMode="External"/><Relationship Id="rId36" Type="http://schemas.openxmlformats.org/officeDocument/2006/relationships/hyperlink" Target="mailto:luisvera98@aragon.unam.mx" TargetMode="External"/><Relationship Id="rId57" Type="http://schemas.openxmlformats.org/officeDocument/2006/relationships/hyperlink" Target="mailto:Jorge.xav98@gmail.com" TargetMode="External"/><Relationship Id="rId106" Type="http://schemas.openxmlformats.org/officeDocument/2006/relationships/hyperlink" Target="mailto:ariadna-segura@hotmail.com" TargetMode="External"/><Relationship Id="rId127" Type="http://schemas.openxmlformats.org/officeDocument/2006/relationships/hyperlink" Target="mailto:al222211536@gmail.com" TargetMode="External"/><Relationship Id="rId10" Type="http://schemas.openxmlformats.org/officeDocument/2006/relationships/hyperlink" Target="mailto:baez220916@gmail.com" TargetMode="External"/><Relationship Id="rId31" Type="http://schemas.openxmlformats.org/officeDocument/2006/relationships/hyperlink" Target="mailto:diego94.serrano@gmail.com" TargetMode="External"/><Relationship Id="rId52" Type="http://schemas.openxmlformats.org/officeDocument/2006/relationships/hyperlink" Target="mailto:anae_ceo@hotmail.com" TargetMode="External"/><Relationship Id="rId73" Type="http://schemas.openxmlformats.org/officeDocument/2006/relationships/hyperlink" Target="mailto:flordemaria1932@gmail.com" TargetMode="External"/><Relationship Id="rId78" Type="http://schemas.openxmlformats.org/officeDocument/2006/relationships/hyperlink" Target="mailto:mariojefe114@gmail.com" TargetMode="External"/><Relationship Id="rId94" Type="http://schemas.openxmlformats.org/officeDocument/2006/relationships/hyperlink" Target="mailto:rurik_nava@hotmail.com" TargetMode="External"/><Relationship Id="rId99" Type="http://schemas.openxmlformats.org/officeDocument/2006/relationships/hyperlink" Target="mailto:jorroberto99@gmail.com" TargetMode="External"/><Relationship Id="rId101" Type="http://schemas.openxmlformats.org/officeDocument/2006/relationships/hyperlink" Target="mailto:samanta.domtor@gmail.com" TargetMode="External"/><Relationship Id="rId122" Type="http://schemas.openxmlformats.org/officeDocument/2006/relationships/hyperlink" Target="mailto:cead_25@hotmail.com" TargetMode="External"/><Relationship Id="rId143" Type="http://schemas.openxmlformats.org/officeDocument/2006/relationships/hyperlink" Target="mailto:Jazmin.dj11@gmail.com" TargetMode="External"/><Relationship Id="rId148" Type="http://schemas.openxmlformats.org/officeDocument/2006/relationships/hyperlink" Target="mailto:mssjtoluca@gmail.com" TargetMode="External"/><Relationship Id="rId4" Type="http://schemas.openxmlformats.org/officeDocument/2006/relationships/hyperlink" Target="mailto:201810264@tese.edu.mx" TargetMode="External"/><Relationship Id="rId9" Type="http://schemas.openxmlformats.org/officeDocument/2006/relationships/hyperlink" Target="mailto:syc160599@gmail.com" TargetMode="External"/><Relationship Id="rId26" Type="http://schemas.openxmlformats.org/officeDocument/2006/relationships/hyperlink" Target="mailto:gustavoalberto25821@outlook.es" TargetMode="External"/><Relationship Id="rId47" Type="http://schemas.openxmlformats.org/officeDocument/2006/relationships/hyperlink" Target="mailto:joshua210296@outlook.com" TargetMode="External"/><Relationship Id="rId68" Type="http://schemas.openxmlformats.org/officeDocument/2006/relationships/hyperlink" Target="mailto:oviedomoran@gmail.com" TargetMode="External"/><Relationship Id="rId89" Type="http://schemas.openxmlformats.org/officeDocument/2006/relationships/hyperlink" Target="mailto:aangmont394@gmail.com" TargetMode="External"/><Relationship Id="rId112" Type="http://schemas.openxmlformats.org/officeDocument/2006/relationships/hyperlink" Target="mailto:ruizgalvanyaritza@gmail.com" TargetMode="External"/><Relationship Id="rId133" Type="http://schemas.openxmlformats.org/officeDocument/2006/relationships/hyperlink" Target="mailto:irvingadrianz.r@gmail.com" TargetMode="External"/><Relationship Id="rId16" Type="http://schemas.openxmlformats.org/officeDocument/2006/relationships/hyperlink" Target="mailto:201310673@tese.edu.mx" TargetMode="External"/><Relationship Id="rId37" Type="http://schemas.openxmlformats.org/officeDocument/2006/relationships/hyperlink" Target="mailto:cidejua@hotmail.com" TargetMode="External"/><Relationship Id="rId58" Type="http://schemas.openxmlformats.org/officeDocument/2006/relationships/hyperlink" Target="mailto:mggg_ibt046@hotmail.com" TargetMode="External"/><Relationship Id="rId79" Type="http://schemas.openxmlformats.org/officeDocument/2006/relationships/hyperlink" Target="mailto:201811172@tese.edu.mx" TargetMode="External"/><Relationship Id="rId102" Type="http://schemas.openxmlformats.org/officeDocument/2006/relationships/hyperlink" Target="mailto:luis.edoardo.garcia.sanchez@gmail.com" TargetMode="External"/><Relationship Id="rId123" Type="http://schemas.openxmlformats.org/officeDocument/2006/relationships/hyperlink" Target="mailto:urielmercutier@gmail.com" TargetMode="External"/><Relationship Id="rId144" Type="http://schemas.openxmlformats.org/officeDocument/2006/relationships/hyperlink" Target="mailto:genaro_201811203@test.edu.mx" TargetMode="External"/><Relationship Id="rId90" Type="http://schemas.openxmlformats.org/officeDocument/2006/relationships/hyperlink" Target="mailto:karla.alvarezg13@gmail.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juan.alvarado@dinso.mx" TargetMode="External"/><Relationship Id="rId3" Type="http://schemas.openxmlformats.org/officeDocument/2006/relationships/hyperlink" Target="mailto:live.free@live.com.mx," TargetMode="External"/><Relationship Id="rId7" Type="http://schemas.openxmlformats.org/officeDocument/2006/relationships/hyperlink" Target="mailto:cruzricado86@gail.com," TargetMode="External"/><Relationship Id="rId2" Type="http://schemas.openxmlformats.org/officeDocument/2006/relationships/hyperlink" Target="mailto:lzuniga@conacyt.mx," TargetMode="External"/><Relationship Id="rId1" Type="http://schemas.openxmlformats.org/officeDocument/2006/relationships/hyperlink" Target="mailto:lulusitaqin@gmail.com,jandrita_sali@hotmail.com" TargetMode="External"/><Relationship Id="rId6" Type="http://schemas.openxmlformats.org/officeDocument/2006/relationships/hyperlink" Target="mailto:Antonio.deleon@polisol.com.mx,Jefe.id@rccmex.com.mx," TargetMode="External"/><Relationship Id="rId5" Type="http://schemas.openxmlformats.org/officeDocument/2006/relationships/hyperlink" Target="mailto:director@krismar.com.mx,gabor@krismar.com.mx,carlos@krismar.com.mx" TargetMode="External"/><Relationship Id="rId10" Type="http://schemas.openxmlformats.org/officeDocument/2006/relationships/hyperlink" Target="mailto:ao.noemi@gmail.com" TargetMode="External"/><Relationship Id="rId4" Type="http://schemas.openxmlformats.org/officeDocument/2006/relationships/hyperlink" Target="mailto:jorgesantiago20@hotmail.com," TargetMode="External"/><Relationship Id="rId9" Type="http://schemas.openxmlformats.org/officeDocument/2006/relationships/hyperlink" Target="mailto:beeet13gm@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nestor.martinez@adsmexicana.com" TargetMode="External"/><Relationship Id="rId3" Type="http://schemas.openxmlformats.org/officeDocument/2006/relationships/hyperlink" Target="mailto:leobardo.cuevas@santul.net" TargetMode="External"/><Relationship Id="rId7" Type="http://schemas.openxmlformats.org/officeDocument/2006/relationships/hyperlink" Target="mailto:jose.zarate@adsmexicana.com" TargetMode="External"/><Relationship Id="rId12" Type="http://schemas.openxmlformats.org/officeDocument/2006/relationships/hyperlink" Target="mailto:elsa.perez@adsmexicana.com" TargetMode="External"/><Relationship Id="rId2" Type="http://schemas.openxmlformats.org/officeDocument/2006/relationships/hyperlink" Target="mailto:cristian.arreguin@santul.net" TargetMode="External"/><Relationship Id="rId1" Type="http://schemas.openxmlformats.org/officeDocument/2006/relationships/hyperlink" Target="mailto:martin.reyes@santul.net" TargetMode="External"/><Relationship Id="rId6" Type="http://schemas.openxmlformats.org/officeDocument/2006/relationships/hyperlink" Target="mailto:ventas@mgn.mx" TargetMode="External"/><Relationship Id="rId11" Type="http://schemas.openxmlformats.org/officeDocument/2006/relationships/hyperlink" Target="mailto:m.diosdado@equiposyahn.com" TargetMode="External"/><Relationship Id="rId5" Type="http://schemas.openxmlformats.org/officeDocument/2006/relationships/hyperlink" Target="mailto:javiermejia77@hotmail.com" TargetMode="External"/><Relationship Id="rId10" Type="http://schemas.openxmlformats.org/officeDocument/2006/relationships/hyperlink" Target="mailto:equiposyahn@gmail.com" TargetMode="External"/><Relationship Id="rId4" Type="http://schemas.openxmlformats.org/officeDocument/2006/relationships/hyperlink" Target="mailto:direccion@mgn.mx" TargetMode="External"/><Relationship Id="rId9" Type="http://schemas.openxmlformats.org/officeDocument/2006/relationships/hyperlink" Target="mailto:equiposyahn@gmail.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djaimesr774@gmail.com" TargetMode="External"/><Relationship Id="rId3" Type="http://schemas.openxmlformats.org/officeDocument/2006/relationships/hyperlink" Target="mailto:jonathan.arriaga@a-electronics.com.mx" TargetMode="External"/><Relationship Id="rId7" Type="http://schemas.openxmlformats.org/officeDocument/2006/relationships/hyperlink" Target="mailto:daniel.velarde@adsmexicana.com" TargetMode="External"/><Relationship Id="rId2" Type="http://schemas.openxmlformats.org/officeDocument/2006/relationships/hyperlink" Target="mailto:asistente.investigacion@rccmex.com.mx" TargetMode="External"/><Relationship Id="rId1" Type="http://schemas.openxmlformats.org/officeDocument/2006/relationships/hyperlink" Target="mailto:oscar.carmona@cmx360.com.mx" TargetMode="External"/><Relationship Id="rId6" Type="http://schemas.openxmlformats.org/officeDocument/2006/relationships/hyperlink" Target="mailto:raul.phillips@cmx360.com.mx" TargetMode="External"/><Relationship Id="rId5" Type="http://schemas.openxmlformats.org/officeDocument/2006/relationships/hyperlink" Target="mailto:sistemas@innovax.com.mx" TargetMode="External"/><Relationship Id="rId4" Type="http://schemas.openxmlformats.org/officeDocument/2006/relationships/hyperlink" Target="mailto:proyectos.cariocas@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39997558519241921"/>
  </sheetPr>
  <dimension ref="A1:O187"/>
  <sheetViews>
    <sheetView topLeftCell="A67" zoomScale="90" zoomScaleNormal="90" workbookViewId="0">
      <pane xSplit="1" topLeftCell="B1" activePane="topRight" state="frozen"/>
      <selection pane="topRight" activeCell="M7" sqref="M7"/>
    </sheetView>
  </sheetViews>
  <sheetFormatPr defaultColWidth="11.42578125" defaultRowHeight="14.45"/>
  <cols>
    <col min="1" max="1" width="19.140625" customWidth="1"/>
    <col min="2" max="2" width="39.42578125" customWidth="1"/>
    <col min="3" max="3" width="8.42578125" customWidth="1"/>
    <col min="4" max="4" width="54.7109375" customWidth="1"/>
    <col min="5" max="5" width="19" customWidth="1"/>
    <col min="6" max="6" width="23.5703125" customWidth="1"/>
    <col min="7" max="7" width="21.85546875" customWidth="1"/>
    <col min="8" max="8" width="20.42578125" customWidth="1"/>
    <col min="9" max="9" width="14.85546875" customWidth="1"/>
    <col min="10" max="10" width="16.5703125" customWidth="1"/>
    <col min="11" max="11" width="28.85546875" customWidth="1"/>
    <col min="12" max="12" width="20.7109375" customWidth="1"/>
    <col min="13" max="13" width="65.28515625" customWidth="1"/>
  </cols>
  <sheetData>
    <row r="1" spans="1:15" ht="15">
      <c r="A1" s="1"/>
      <c r="B1" s="1"/>
      <c r="C1" s="1"/>
      <c r="D1" s="1"/>
      <c r="E1" s="1"/>
      <c r="F1" s="1"/>
      <c r="G1" s="1"/>
      <c r="H1" s="1"/>
      <c r="I1" s="1"/>
      <c r="J1" s="1"/>
      <c r="K1" s="1"/>
      <c r="L1" s="1"/>
      <c r="M1" s="1"/>
    </row>
    <row r="2" spans="1:15" ht="20.25" customHeight="1">
      <c r="A2" s="238" t="s">
        <v>0</v>
      </c>
      <c r="B2" s="238"/>
      <c r="C2" s="238"/>
      <c r="D2" s="238"/>
      <c r="E2" s="238"/>
      <c r="F2" s="238"/>
      <c r="G2" s="238"/>
      <c r="H2" s="238"/>
      <c r="I2" s="238"/>
      <c r="J2" s="10"/>
      <c r="K2" s="2"/>
      <c r="L2" s="2"/>
      <c r="M2" s="2"/>
    </row>
    <row r="3" spans="1:15" ht="28.5" customHeight="1">
      <c r="A3" s="238"/>
      <c r="B3" s="238"/>
      <c r="C3" s="238"/>
      <c r="D3" s="238"/>
      <c r="E3" s="238"/>
      <c r="F3" s="238"/>
      <c r="G3" s="238"/>
      <c r="H3" s="238"/>
      <c r="I3" s="238"/>
      <c r="J3" s="10"/>
      <c r="K3" s="2"/>
      <c r="L3" s="2"/>
      <c r="M3" s="2"/>
    </row>
    <row r="4" spans="1:15" ht="16.5" customHeight="1">
      <c r="A4" s="3"/>
      <c r="B4" s="3"/>
      <c r="C4" s="3"/>
      <c r="D4" s="3"/>
      <c r="E4" s="3"/>
      <c r="F4" s="3"/>
      <c r="G4" s="3"/>
      <c r="H4" s="3"/>
      <c r="I4" s="3"/>
      <c r="J4" s="3"/>
      <c r="K4" s="3"/>
      <c r="L4" s="3"/>
      <c r="M4" s="3"/>
    </row>
    <row r="5" spans="1:15" ht="51.75" customHeight="1">
      <c r="A5" s="32" t="s">
        <v>1</v>
      </c>
      <c r="B5" s="32" t="s">
        <v>2</v>
      </c>
      <c r="C5" s="32" t="s">
        <v>3</v>
      </c>
      <c r="D5" s="32" t="s">
        <v>4</v>
      </c>
      <c r="E5" s="32" t="s">
        <v>5</v>
      </c>
      <c r="F5" s="32" t="s">
        <v>6</v>
      </c>
      <c r="G5" s="32" t="s">
        <v>7</v>
      </c>
      <c r="H5" s="32" t="s">
        <v>8</v>
      </c>
      <c r="I5" s="32" t="s">
        <v>9</v>
      </c>
      <c r="J5" s="32" t="s">
        <v>10</v>
      </c>
      <c r="K5" s="32" t="s">
        <v>11</v>
      </c>
      <c r="L5" s="32" t="s">
        <v>12</v>
      </c>
      <c r="M5" s="32" t="s">
        <v>13</v>
      </c>
      <c r="N5" s="31" t="s">
        <v>14</v>
      </c>
      <c r="O5" s="31" t="s">
        <v>15</v>
      </c>
    </row>
    <row r="6" spans="1:15" ht="36" customHeight="1">
      <c r="A6" s="239" t="s">
        <v>16</v>
      </c>
      <c r="B6" s="240"/>
      <c r="C6" s="240"/>
      <c r="D6" s="240"/>
      <c r="E6" s="240"/>
      <c r="F6" s="240"/>
      <c r="G6" s="240"/>
      <c r="H6" s="240"/>
      <c r="I6" s="240"/>
      <c r="J6" s="240"/>
      <c r="K6" s="240"/>
      <c r="L6" s="240"/>
      <c r="M6" s="240"/>
      <c r="N6" s="241"/>
      <c r="O6" s="242"/>
    </row>
    <row r="7" spans="1:15" ht="87" customHeight="1">
      <c r="A7" s="22" t="s">
        <v>17</v>
      </c>
      <c r="B7" s="4" t="s">
        <v>18</v>
      </c>
      <c r="C7" s="4">
        <v>22</v>
      </c>
      <c r="D7" s="4" t="s">
        <v>19</v>
      </c>
      <c r="E7" s="4" t="s">
        <v>20</v>
      </c>
      <c r="F7" s="4" t="s">
        <v>21</v>
      </c>
      <c r="G7" s="7" t="s">
        <v>22</v>
      </c>
      <c r="H7" s="9">
        <v>246600</v>
      </c>
      <c r="I7" s="4" t="s">
        <v>23</v>
      </c>
      <c r="J7" s="7">
        <v>7291485453</v>
      </c>
      <c r="K7" s="25" t="s">
        <v>24</v>
      </c>
      <c r="L7" s="4" t="s">
        <v>25</v>
      </c>
      <c r="M7" s="29" t="s">
        <v>26</v>
      </c>
      <c r="N7" s="33">
        <v>2021</v>
      </c>
      <c r="O7" s="33">
        <v>2023</v>
      </c>
    </row>
    <row r="8" spans="1:15" ht="78" customHeight="1">
      <c r="A8" s="22" t="s">
        <v>27</v>
      </c>
      <c r="B8" s="4" t="s">
        <v>28</v>
      </c>
      <c r="C8" s="4">
        <v>24</v>
      </c>
      <c r="D8" s="4" t="s">
        <v>29</v>
      </c>
      <c r="E8" s="4" t="s">
        <v>30</v>
      </c>
      <c r="F8" s="4" t="s">
        <v>31</v>
      </c>
      <c r="G8" s="8" t="s">
        <v>32</v>
      </c>
      <c r="H8" s="9">
        <v>420000</v>
      </c>
      <c r="I8" s="4" t="s">
        <v>23</v>
      </c>
      <c r="J8" s="5">
        <v>5518513035</v>
      </c>
      <c r="K8" s="14" t="s">
        <v>33</v>
      </c>
      <c r="L8" s="4" t="s">
        <v>25</v>
      </c>
      <c r="M8" s="29" t="s">
        <v>34</v>
      </c>
      <c r="N8" s="33">
        <v>2021</v>
      </c>
      <c r="O8" s="33">
        <v>2023</v>
      </c>
    </row>
    <row r="9" spans="1:15" ht="87.75" customHeight="1">
      <c r="A9" s="22" t="s">
        <v>35</v>
      </c>
      <c r="B9" s="4" t="s">
        <v>36</v>
      </c>
      <c r="C9" s="4">
        <v>25</v>
      </c>
      <c r="D9" s="4" t="s">
        <v>37</v>
      </c>
      <c r="E9" s="4" t="s">
        <v>38</v>
      </c>
      <c r="F9" s="4" t="s">
        <v>39</v>
      </c>
      <c r="G9" s="8" t="s">
        <v>40</v>
      </c>
      <c r="H9" s="9">
        <v>499694.23</v>
      </c>
      <c r="I9" s="4" t="s">
        <v>41</v>
      </c>
      <c r="J9" s="5">
        <v>5539607989</v>
      </c>
      <c r="K9" s="14" t="s">
        <v>42</v>
      </c>
      <c r="L9" s="4" t="s">
        <v>25</v>
      </c>
      <c r="M9" s="29" t="s">
        <v>43</v>
      </c>
      <c r="N9" s="33">
        <v>2021</v>
      </c>
      <c r="O9" s="33">
        <v>2023</v>
      </c>
    </row>
    <row r="10" spans="1:15" ht="111" customHeight="1">
      <c r="A10" s="22" t="s">
        <v>44</v>
      </c>
      <c r="B10" s="4" t="s">
        <v>45</v>
      </c>
      <c r="C10" s="4">
        <v>22</v>
      </c>
      <c r="D10" s="4" t="s">
        <v>46</v>
      </c>
      <c r="E10" s="4" t="s">
        <v>47</v>
      </c>
      <c r="F10" s="4" t="s">
        <v>48</v>
      </c>
      <c r="G10" s="8" t="s">
        <v>40</v>
      </c>
      <c r="H10" s="9">
        <v>492169.6</v>
      </c>
      <c r="I10" s="4" t="s">
        <v>23</v>
      </c>
      <c r="J10" s="5">
        <v>5621437995</v>
      </c>
      <c r="K10" s="14" t="s">
        <v>49</v>
      </c>
      <c r="L10" s="4" t="s">
        <v>25</v>
      </c>
      <c r="M10" s="29" t="s">
        <v>50</v>
      </c>
      <c r="N10" s="33">
        <v>2021</v>
      </c>
      <c r="O10" s="33">
        <v>2023</v>
      </c>
    </row>
    <row r="11" spans="1:15" ht="105.75" customHeight="1">
      <c r="A11" s="22" t="s">
        <v>51</v>
      </c>
      <c r="B11" s="4" t="s">
        <v>52</v>
      </c>
      <c r="C11" s="4">
        <v>23</v>
      </c>
      <c r="D11" s="4" t="s">
        <v>53</v>
      </c>
      <c r="E11" s="4" t="s">
        <v>54</v>
      </c>
      <c r="F11" s="4" t="s">
        <v>55</v>
      </c>
      <c r="G11" s="8" t="s">
        <v>56</v>
      </c>
      <c r="H11" s="9">
        <v>458393.36</v>
      </c>
      <c r="I11" s="4" t="s">
        <v>41</v>
      </c>
      <c r="J11" s="5">
        <v>7292715827</v>
      </c>
      <c r="K11" s="14" t="s">
        <v>57</v>
      </c>
      <c r="L11" s="4" t="s">
        <v>25</v>
      </c>
      <c r="M11" s="29" t="s">
        <v>58</v>
      </c>
      <c r="N11" s="33">
        <v>2021</v>
      </c>
      <c r="O11" s="33">
        <v>2023</v>
      </c>
    </row>
    <row r="12" spans="1:15" ht="51.75" customHeight="1">
      <c r="A12" s="22" t="s">
        <v>59</v>
      </c>
      <c r="B12" s="4" t="s">
        <v>60</v>
      </c>
      <c r="C12" s="4">
        <v>25</v>
      </c>
      <c r="D12" s="4" t="s">
        <v>61</v>
      </c>
      <c r="E12" s="4" t="s">
        <v>62</v>
      </c>
      <c r="F12" s="4" t="s">
        <v>21</v>
      </c>
      <c r="G12" s="8" t="s">
        <v>22</v>
      </c>
      <c r="H12" s="9">
        <v>486850</v>
      </c>
      <c r="I12" s="4" t="s">
        <v>41</v>
      </c>
      <c r="J12" s="5">
        <v>7221309736</v>
      </c>
      <c r="K12" s="14" t="s">
        <v>63</v>
      </c>
      <c r="L12" s="4" t="s">
        <v>25</v>
      </c>
      <c r="M12" s="29" t="s">
        <v>64</v>
      </c>
      <c r="N12" s="33">
        <v>2021</v>
      </c>
      <c r="O12" s="33">
        <v>2023</v>
      </c>
    </row>
    <row r="13" spans="1:15" ht="69" customHeight="1">
      <c r="A13" s="22" t="s">
        <v>65</v>
      </c>
      <c r="B13" s="4" t="s">
        <v>66</v>
      </c>
      <c r="C13" s="4">
        <v>23</v>
      </c>
      <c r="D13" s="4" t="s">
        <v>67</v>
      </c>
      <c r="E13" s="4" t="s">
        <v>68</v>
      </c>
      <c r="F13" s="4" t="s">
        <v>69</v>
      </c>
      <c r="G13" s="8" t="s">
        <v>70</v>
      </c>
      <c r="H13" s="9">
        <v>195000</v>
      </c>
      <c r="I13" s="4" t="s">
        <v>41</v>
      </c>
      <c r="J13" s="5">
        <v>7293291403</v>
      </c>
      <c r="K13" s="14" t="s">
        <v>71</v>
      </c>
      <c r="L13" s="4" t="s">
        <v>25</v>
      </c>
      <c r="M13" s="29" t="s">
        <v>72</v>
      </c>
      <c r="N13" s="33">
        <v>2021</v>
      </c>
      <c r="O13" s="33">
        <v>2022</v>
      </c>
    </row>
    <row r="14" spans="1:15" ht="51.75" customHeight="1">
      <c r="A14" s="22" t="s">
        <v>73</v>
      </c>
      <c r="B14" s="4" t="s">
        <v>74</v>
      </c>
      <c r="C14" s="4">
        <v>20</v>
      </c>
      <c r="D14" s="4" t="s">
        <v>75</v>
      </c>
      <c r="E14" s="4" t="s">
        <v>54</v>
      </c>
      <c r="F14" s="4" t="s">
        <v>76</v>
      </c>
      <c r="G14" s="8" t="s">
        <v>77</v>
      </c>
      <c r="H14" s="9">
        <v>496279.26</v>
      </c>
      <c r="I14" s="4" t="s">
        <v>23</v>
      </c>
      <c r="J14" s="5">
        <v>7122443583</v>
      </c>
      <c r="K14" s="14" t="s">
        <v>78</v>
      </c>
      <c r="L14" s="4" t="s">
        <v>25</v>
      </c>
      <c r="M14" s="29" t="s">
        <v>79</v>
      </c>
      <c r="N14" s="33">
        <v>2021</v>
      </c>
      <c r="O14" s="33">
        <v>2023</v>
      </c>
    </row>
    <row r="15" spans="1:15" ht="104.25" customHeight="1">
      <c r="A15" s="22" t="s">
        <v>80</v>
      </c>
      <c r="B15" s="4" t="s">
        <v>81</v>
      </c>
      <c r="C15" s="4">
        <v>25</v>
      </c>
      <c r="D15" s="4" t="s">
        <v>82</v>
      </c>
      <c r="E15" s="4" t="s">
        <v>54</v>
      </c>
      <c r="F15" s="4" t="s">
        <v>83</v>
      </c>
      <c r="G15" s="8" t="s">
        <v>84</v>
      </c>
      <c r="H15" s="9">
        <v>374974</v>
      </c>
      <c r="I15" s="4" t="s">
        <v>41</v>
      </c>
      <c r="J15" s="5">
        <v>7121524679</v>
      </c>
      <c r="K15" s="14" t="s">
        <v>85</v>
      </c>
      <c r="L15" s="4" t="s">
        <v>25</v>
      </c>
      <c r="M15" s="29" t="s">
        <v>86</v>
      </c>
      <c r="N15" s="33">
        <v>2021</v>
      </c>
      <c r="O15" s="33">
        <v>2022</v>
      </c>
    </row>
    <row r="16" spans="1:15" ht="79.5" customHeight="1">
      <c r="A16" s="22" t="s">
        <v>87</v>
      </c>
      <c r="B16" s="4" t="s">
        <v>88</v>
      </c>
      <c r="C16" s="4">
        <v>25</v>
      </c>
      <c r="D16" s="4" t="s">
        <v>89</v>
      </c>
      <c r="E16" s="4" t="s">
        <v>62</v>
      </c>
      <c r="F16" s="4" t="s">
        <v>90</v>
      </c>
      <c r="G16" s="8" t="s">
        <v>91</v>
      </c>
      <c r="H16" s="9">
        <v>500000</v>
      </c>
      <c r="I16" s="4" t="s">
        <v>41</v>
      </c>
      <c r="J16" s="5" t="s">
        <v>92</v>
      </c>
      <c r="K16" s="14" t="s">
        <v>93</v>
      </c>
      <c r="L16" s="4" t="s">
        <v>25</v>
      </c>
      <c r="M16" s="29" t="s">
        <v>94</v>
      </c>
      <c r="N16" s="33">
        <v>2021</v>
      </c>
      <c r="O16" s="33">
        <v>2023</v>
      </c>
    </row>
    <row r="17" spans="1:15" ht="101.25" customHeight="1">
      <c r="A17" s="22" t="s">
        <v>95</v>
      </c>
      <c r="B17" s="4" t="s">
        <v>96</v>
      </c>
      <c r="C17" s="4">
        <v>25</v>
      </c>
      <c r="D17" s="4" t="s">
        <v>97</v>
      </c>
      <c r="E17" s="4" t="s">
        <v>62</v>
      </c>
      <c r="F17" s="4" t="s">
        <v>21</v>
      </c>
      <c r="G17" s="8" t="s">
        <v>22</v>
      </c>
      <c r="H17" s="9">
        <v>500000</v>
      </c>
      <c r="I17" s="4" t="s">
        <v>23</v>
      </c>
      <c r="J17" s="5">
        <v>7222919091</v>
      </c>
      <c r="K17" s="14" t="s">
        <v>98</v>
      </c>
      <c r="L17" s="4" t="s">
        <v>25</v>
      </c>
      <c r="M17" s="29" t="s">
        <v>99</v>
      </c>
      <c r="N17" s="33">
        <v>2021</v>
      </c>
      <c r="O17" s="33">
        <v>2023</v>
      </c>
    </row>
    <row r="18" spans="1:15" ht="102.75" customHeight="1">
      <c r="A18" s="22" t="s">
        <v>100</v>
      </c>
      <c r="B18" s="4" t="s">
        <v>101</v>
      </c>
      <c r="C18" s="4">
        <v>22</v>
      </c>
      <c r="D18" s="4" t="s">
        <v>102</v>
      </c>
      <c r="E18" s="4" t="s">
        <v>103</v>
      </c>
      <c r="F18" s="4" t="s">
        <v>39</v>
      </c>
      <c r="G18" s="8" t="s">
        <v>104</v>
      </c>
      <c r="H18" s="9">
        <v>498574</v>
      </c>
      <c r="I18" s="4" t="s">
        <v>41</v>
      </c>
      <c r="J18" s="5">
        <v>5581864207</v>
      </c>
      <c r="K18" s="14" t="s">
        <v>105</v>
      </c>
      <c r="L18" s="4" t="s">
        <v>25</v>
      </c>
      <c r="M18" s="29" t="s">
        <v>106</v>
      </c>
      <c r="N18" s="33">
        <v>2021</v>
      </c>
      <c r="O18" s="33">
        <v>2023</v>
      </c>
    </row>
    <row r="19" spans="1:15" ht="104.25" customHeight="1">
      <c r="A19" s="22" t="s">
        <v>107</v>
      </c>
      <c r="B19" s="4" t="s">
        <v>108</v>
      </c>
      <c r="C19" s="4">
        <v>24</v>
      </c>
      <c r="D19" s="4" t="s">
        <v>109</v>
      </c>
      <c r="E19" s="4" t="s">
        <v>110</v>
      </c>
      <c r="F19" s="4" t="s">
        <v>111</v>
      </c>
      <c r="G19" s="8" t="s">
        <v>104</v>
      </c>
      <c r="H19" s="9">
        <v>495000</v>
      </c>
      <c r="I19" s="4" t="s">
        <v>23</v>
      </c>
      <c r="J19" s="5">
        <v>5614576419</v>
      </c>
      <c r="K19" s="14" t="s">
        <v>112</v>
      </c>
      <c r="L19" s="4" t="s">
        <v>25</v>
      </c>
      <c r="M19" s="29" t="s">
        <v>113</v>
      </c>
      <c r="N19" s="33">
        <v>2021</v>
      </c>
      <c r="O19" s="33">
        <v>2023</v>
      </c>
    </row>
    <row r="20" spans="1:15" ht="51.75" customHeight="1">
      <c r="A20" s="22" t="s">
        <v>114</v>
      </c>
      <c r="B20" s="4" t="s">
        <v>115</v>
      </c>
      <c r="C20" s="4">
        <v>24</v>
      </c>
      <c r="D20" s="4" t="s">
        <v>116</v>
      </c>
      <c r="E20" s="4" t="s">
        <v>54</v>
      </c>
      <c r="F20" s="4" t="s">
        <v>117</v>
      </c>
      <c r="G20" s="8" t="s">
        <v>118</v>
      </c>
      <c r="H20" s="9">
        <v>500000</v>
      </c>
      <c r="I20" s="4" t="s">
        <v>41</v>
      </c>
      <c r="J20" s="5" t="s">
        <v>119</v>
      </c>
      <c r="K20" s="14" t="s">
        <v>120</v>
      </c>
      <c r="L20" s="4" t="s">
        <v>25</v>
      </c>
      <c r="M20" s="29" t="s">
        <v>121</v>
      </c>
      <c r="N20" s="33">
        <v>2021</v>
      </c>
      <c r="O20" s="33">
        <v>2022</v>
      </c>
    </row>
    <row r="21" spans="1:15" ht="74.25" customHeight="1">
      <c r="A21" s="22" t="s">
        <v>122</v>
      </c>
      <c r="B21" s="4" t="s">
        <v>123</v>
      </c>
      <c r="C21" s="4">
        <v>23</v>
      </c>
      <c r="D21" s="4" t="s">
        <v>124</v>
      </c>
      <c r="E21" s="4" t="s">
        <v>54</v>
      </c>
      <c r="F21" s="4" t="s">
        <v>125</v>
      </c>
      <c r="G21" s="8" t="s">
        <v>126</v>
      </c>
      <c r="H21" s="9">
        <v>493500</v>
      </c>
      <c r="I21" s="4" t="s">
        <v>23</v>
      </c>
      <c r="J21" s="5">
        <v>5626500351</v>
      </c>
      <c r="K21" s="14" t="s">
        <v>127</v>
      </c>
      <c r="L21" s="4" t="s">
        <v>25</v>
      </c>
      <c r="M21" s="29" t="s">
        <v>128</v>
      </c>
      <c r="N21" s="33">
        <v>2021</v>
      </c>
      <c r="O21" s="33">
        <v>2023</v>
      </c>
    </row>
    <row r="22" spans="1:15" ht="118.5" customHeight="1">
      <c r="A22" s="22" t="s">
        <v>129</v>
      </c>
      <c r="B22" s="4" t="s">
        <v>130</v>
      </c>
      <c r="C22" s="4">
        <v>22</v>
      </c>
      <c r="D22" s="4" t="s">
        <v>131</v>
      </c>
      <c r="E22" s="4" t="s">
        <v>47</v>
      </c>
      <c r="F22" s="4" t="s">
        <v>90</v>
      </c>
      <c r="G22" s="8" t="s">
        <v>132</v>
      </c>
      <c r="H22" s="9">
        <v>100000</v>
      </c>
      <c r="I22" s="4" t="s">
        <v>23</v>
      </c>
      <c r="J22" s="5" t="s">
        <v>133</v>
      </c>
      <c r="K22" s="14" t="s">
        <v>134</v>
      </c>
      <c r="L22" s="15" t="s">
        <v>135</v>
      </c>
      <c r="M22" s="29" t="s">
        <v>136</v>
      </c>
      <c r="N22" s="33">
        <v>2021</v>
      </c>
      <c r="O22" s="33">
        <v>2023</v>
      </c>
    </row>
    <row r="23" spans="1:15" ht="102" customHeight="1">
      <c r="A23" s="22" t="s">
        <v>137</v>
      </c>
      <c r="B23" s="4" t="s">
        <v>138</v>
      </c>
      <c r="C23" s="4">
        <v>23</v>
      </c>
      <c r="D23" s="4" t="s">
        <v>139</v>
      </c>
      <c r="E23" s="4" t="s">
        <v>20</v>
      </c>
      <c r="F23" s="4" t="s">
        <v>125</v>
      </c>
      <c r="G23" s="8" t="s">
        <v>140</v>
      </c>
      <c r="H23" s="9">
        <v>499200</v>
      </c>
      <c r="I23" s="4" t="s">
        <v>41</v>
      </c>
      <c r="J23" s="5">
        <v>5575045810</v>
      </c>
      <c r="K23" s="14" t="s">
        <v>141</v>
      </c>
      <c r="L23" s="4" t="s">
        <v>25</v>
      </c>
      <c r="M23" s="29" t="s">
        <v>142</v>
      </c>
      <c r="N23" s="33">
        <v>2021</v>
      </c>
      <c r="O23" s="33">
        <v>2023</v>
      </c>
    </row>
    <row r="24" spans="1:15" ht="51.75" customHeight="1">
      <c r="A24" s="22" t="s">
        <v>143</v>
      </c>
      <c r="B24" s="4" t="s">
        <v>144</v>
      </c>
      <c r="C24" s="4">
        <v>19</v>
      </c>
      <c r="D24" s="4" t="s">
        <v>145</v>
      </c>
      <c r="E24" s="4" t="s">
        <v>146</v>
      </c>
      <c r="F24" s="4" t="s">
        <v>147</v>
      </c>
      <c r="G24" s="8" t="s">
        <v>148</v>
      </c>
      <c r="H24" s="9">
        <v>500000</v>
      </c>
      <c r="I24" s="4" t="s">
        <v>23</v>
      </c>
      <c r="J24" s="5">
        <v>5631159293</v>
      </c>
      <c r="K24" s="14" t="s">
        <v>149</v>
      </c>
      <c r="L24" s="4" t="s">
        <v>25</v>
      </c>
      <c r="M24" s="29" t="s">
        <v>150</v>
      </c>
      <c r="N24" s="33">
        <v>2021</v>
      </c>
      <c r="O24" s="33">
        <v>2023</v>
      </c>
    </row>
    <row r="25" spans="1:15" ht="122.25" customHeight="1">
      <c r="A25" s="22" t="s">
        <v>151</v>
      </c>
      <c r="B25" s="4" t="s">
        <v>152</v>
      </c>
      <c r="C25" s="4">
        <v>24</v>
      </c>
      <c r="D25" s="4" t="s">
        <v>153</v>
      </c>
      <c r="E25" s="4" t="s">
        <v>54</v>
      </c>
      <c r="F25" s="4" t="s">
        <v>21</v>
      </c>
      <c r="G25" s="8" t="s">
        <v>154</v>
      </c>
      <c r="H25" s="9">
        <v>498521</v>
      </c>
      <c r="I25" s="4" t="s">
        <v>41</v>
      </c>
      <c r="J25" s="5">
        <v>7225169048</v>
      </c>
      <c r="K25" s="14" t="s">
        <v>155</v>
      </c>
      <c r="L25" s="4" t="s">
        <v>25</v>
      </c>
      <c r="M25" s="29" t="s">
        <v>156</v>
      </c>
      <c r="N25" s="33">
        <v>2021</v>
      </c>
      <c r="O25" s="33">
        <v>2023</v>
      </c>
    </row>
    <row r="26" spans="1:15" ht="51.75" customHeight="1">
      <c r="A26" s="22" t="s">
        <v>157</v>
      </c>
      <c r="B26" s="4" t="s">
        <v>158</v>
      </c>
      <c r="C26" s="4">
        <v>22</v>
      </c>
      <c r="D26" s="4" t="s">
        <v>159</v>
      </c>
      <c r="E26" s="4" t="s">
        <v>20</v>
      </c>
      <c r="F26" s="4" t="s">
        <v>160</v>
      </c>
      <c r="G26" s="8" t="s">
        <v>132</v>
      </c>
      <c r="H26" s="9">
        <v>481800</v>
      </c>
      <c r="I26" s="4" t="s">
        <v>41</v>
      </c>
      <c r="J26" s="5" t="s">
        <v>161</v>
      </c>
      <c r="K26" s="14" t="s">
        <v>162</v>
      </c>
      <c r="L26" s="15" t="s">
        <v>135</v>
      </c>
      <c r="M26" s="29" t="s">
        <v>163</v>
      </c>
      <c r="N26" s="33">
        <v>2021</v>
      </c>
      <c r="O26" s="33">
        <v>2022</v>
      </c>
    </row>
    <row r="27" spans="1:15" ht="36.75" customHeight="1">
      <c r="A27" s="243" t="s">
        <v>164</v>
      </c>
      <c r="B27" s="244"/>
      <c r="C27" s="244"/>
      <c r="D27" s="244"/>
      <c r="E27" s="244"/>
      <c r="F27" s="244"/>
      <c r="G27" s="244"/>
      <c r="H27" s="244"/>
      <c r="I27" s="244"/>
      <c r="J27" s="244"/>
      <c r="K27" s="244"/>
      <c r="L27" s="244"/>
      <c r="M27" s="244"/>
      <c r="N27" s="245"/>
      <c r="O27" s="246"/>
    </row>
    <row r="28" spans="1:15" ht="74.25" customHeight="1">
      <c r="A28" s="17" t="s">
        <v>165</v>
      </c>
      <c r="B28" s="4" t="s">
        <v>166</v>
      </c>
      <c r="C28" s="4">
        <v>20</v>
      </c>
      <c r="D28" s="4" t="s">
        <v>167</v>
      </c>
      <c r="E28" s="4" t="s">
        <v>20</v>
      </c>
      <c r="F28" s="7" t="s">
        <v>168</v>
      </c>
      <c r="G28" s="8" t="s">
        <v>148</v>
      </c>
      <c r="H28" s="9">
        <v>340000</v>
      </c>
      <c r="I28" s="4" t="s">
        <v>23</v>
      </c>
      <c r="J28" s="5">
        <v>5533113178</v>
      </c>
      <c r="K28" s="14" t="s">
        <v>169</v>
      </c>
      <c r="L28" s="4" t="s">
        <v>25</v>
      </c>
      <c r="M28" s="12" t="s">
        <v>170</v>
      </c>
      <c r="N28" s="33">
        <v>2022</v>
      </c>
      <c r="O28" s="33"/>
    </row>
    <row r="29" spans="1:15" ht="69" customHeight="1">
      <c r="A29" s="17" t="s">
        <v>171</v>
      </c>
      <c r="B29" s="4" t="s">
        <v>172</v>
      </c>
      <c r="C29" s="4">
        <v>27</v>
      </c>
      <c r="D29" s="4" t="s">
        <v>173</v>
      </c>
      <c r="E29" s="4" t="s">
        <v>68</v>
      </c>
      <c r="F29" s="7" t="s">
        <v>174</v>
      </c>
      <c r="G29" s="8" t="s">
        <v>175</v>
      </c>
      <c r="H29" s="9">
        <v>397369</v>
      </c>
      <c r="I29" s="4" t="s">
        <v>41</v>
      </c>
      <c r="J29" s="5">
        <v>7226592961</v>
      </c>
      <c r="K29" s="13" t="s">
        <v>176</v>
      </c>
      <c r="L29" s="4" t="s">
        <v>25</v>
      </c>
      <c r="M29" s="12" t="s">
        <v>177</v>
      </c>
      <c r="N29" s="33">
        <v>2022</v>
      </c>
      <c r="O29" s="33"/>
    </row>
    <row r="30" spans="1:15" ht="64.5" customHeight="1">
      <c r="A30" s="17" t="s">
        <v>178</v>
      </c>
      <c r="B30" s="12" t="s">
        <v>179</v>
      </c>
      <c r="C30" s="12">
        <v>24</v>
      </c>
      <c r="D30" s="5" t="s">
        <v>180</v>
      </c>
      <c r="E30" s="4" t="s">
        <v>181</v>
      </c>
      <c r="F30" s="7" t="s">
        <v>147</v>
      </c>
      <c r="G30" s="8" t="s">
        <v>182</v>
      </c>
      <c r="H30" s="9">
        <v>395000</v>
      </c>
      <c r="I30" s="4" t="s">
        <v>41</v>
      </c>
      <c r="J30" s="5">
        <v>5567618636</v>
      </c>
      <c r="K30" s="13" t="s">
        <v>183</v>
      </c>
      <c r="L30" s="4" t="s">
        <v>25</v>
      </c>
      <c r="M30" s="12" t="s">
        <v>184</v>
      </c>
      <c r="N30" s="33">
        <v>2022</v>
      </c>
      <c r="O30" s="33"/>
    </row>
    <row r="31" spans="1:15" ht="70.5" customHeight="1">
      <c r="A31" s="17" t="s">
        <v>185</v>
      </c>
      <c r="B31" s="12" t="s">
        <v>186</v>
      </c>
      <c r="C31" s="12">
        <v>22</v>
      </c>
      <c r="D31" s="5" t="s">
        <v>187</v>
      </c>
      <c r="E31" s="4" t="s">
        <v>188</v>
      </c>
      <c r="F31" s="7" t="s">
        <v>189</v>
      </c>
      <c r="G31" s="8" t="s">
        <v>148</v>
      </c>
      <c r="H31" s="9">
        <v>400000</v>
      </c>
      <c r="I31" s="5" t="s">
        <v>23</v>
      </c>
      <c r="J31" s="5">
        <v>5627392677</v>
      </c>
      <c r="K31" s="13" t="s">
        <v>190</v>
      </c>
      <c r="L31" s="16" t="s">
        <v>191</v>
      </c>
      <c r="M31" s="12" t="s">
        <v>192</v>
      </c>
      <c r="N31" s="33">
        <v>2022</v>
      </c>
      <c r="O31" s="33"/>
    </row>
    <row r="32" spans="1:15" ht="87" customHeight="1">
      <c r="A32" s="17" t="s">
        <v>193</v>
      </c>
      <c r="B32" s="12" t="s">
        <v>194</v>
      </c>
      <c r="C32" s="12">
        <v>21</v>
      </c>
      <c r="D32" s="5" t="s">
        <v>195</v>
      </c>
      <c r="E32" s="4" t="s">
        <v>196</v>
      </c>
      <c r="F32" s="7" t="s">
        <v>197</v>
      </c>
      <c r="G32" s="8" t="s">
        <v>40</v>
      </c>
      <c r="H32" s="9">
        <v>369308</v>
      </c>
      <c r="I32" s="4" t="s">
        <v>41</v>
      </c>
      <c r="J32" s="5">
        <v>5618189001</v>
      </c>
      <c r="K32" s="13" t="s">
        <v>198</v>
      </c>
      <c r="L32" s="4" t="s">
        <v>25</v>
      </c>
      <c r="M32" s="12" t="s">
        <v>199</v>
      </c>
      <c r="N32" s="33">
        <v>2022</v>
      </c>
      <c r="O32" s="33"/>
    </row>
    <row r="33" spans="1:15" ht="87" customHeight="1">
      <c r="A33" s="17" t="s">
        <v>200</v>
      </c>
      <c r="B33" s="12" t="s">
        <v>201</v>
      </c>
      <c r="C33" s="12">
        <v>25</v>
      </c>
      <c r="D33" s="5" t="s">
        <v>202</v>
      </c>
      <c r="E33" s="4" t="s">
        <v>203</v>
      </c>
      <c r="F33" s="7" t="s">
        <v>39</v>
      </c>
      <c r="G33" s="8" t="s">
        <v>40</v>
      </c>
      <c r="H33" s="9">
        <v>341235</v>
      </c>
      <c r="I33" s="5" t="s">
        <v>23</v>
      </c>
      <c r="J33" s="5">
        <v>5633021534</v>
      </c>
      <c r="K33" s="13" t="s">
        <v>204</v>
      </c>
      <c r="L33" s="4" t="s">
        <v>25</v>
      </c>
      <c r="M33" s="12" t="s">
        <v>205</v>
      </c>
      <c r="N33" s="33">
        <v>2022</v>
      </c>
      <c r="O33" s="33"/>
    </row>
    <row r="34" spans="1:15" ht="78.75" customHeight="1">
      <c r="A34" s="17" t="s">
        <v>206</v>
      </c>
      <c r="B34" s="12" t="s">
        <v>207</v>
      </c>
      <c r="C34" s="12">
        <v>27</v>
      </c>
      <c r="D34" s="5" t="s">
        <v>208</v>
      </c>
      <c r="E34" s="4" t="s">
        <v>209</v>
      </c>
      <c r="F34" s="7" t="s">
        <v>197</v>
      </c>
      <c r="G34" s="8" t="s">
        <v>40</v>
      </c>
      <c r="H34" s="9">
        <v>347320</v>
      </c>
      <c r="I34" s="5" t="s">
        <v>23</v>
      </c>
      <c r="J34" s="5">
        <v>5517323156</v>
      </c>
      <c r="K34" s="13" t="s">
        <v>210</v>
      </c>
      <c r="L34" s="4" t="s">
        <v>25</v>
      </c>
      <c r="M34" s="12" t="s">
        <v>211</v>
      </c>
      <c r="N34" s="33">
        <v>2022</v>
      </c>
      <c r="O34" s="33"/>
    </row>
    <row r="35" spans="1:15" ht="91.5" customHeight="1">
      <c r="A35" s="17" t="s">
        <v>212</v>
      </c>
      <c r="B35" s="12" t="s">
        <v>213</v>
      </c>
      <c r="C35" s="12">
        <v>23</v>
      </c>
      <c r="D35" s="5" t="s">
        <v>214</v>
      </c>
      <c r="E35" s="4" t="s">
        <v>62</v>
      </c>
      <c r="F35" s="7" t="s">
        <v>215</v>
      </c>
      <c r="G35" s="8" t="s">
        <v>22</v>
      </c>
      <c r="H35" s="9">
        <v>399741</v>
      </c>
      <c r="I35" s="4" t="s">
        <v>41</v>
      </c>
      <c r="J35" s="5">
        <v>7224962673</v>
      </c>
      <c r="K35" s="13" t="s">
        <v>216</v>
      </c>
      <c r="L35" s="4" t="s">
        <v>25</v>
      </c>
      <c r="M35" s="12" t="s">
        <v>217</v>
      </c>
      <c r="N35" s="33">
        <v>2022</v>
      </c>
      <c r="O35" s="33"/>
    </row>
    <row r="36" spans="1:15" ht="79.5" customHeight="1">
      <c r="A36" s="17" t="s">
        <v>218</v>
      </c>
      <c r="B36" s="12" t="s">
        <v>219</v>
      </c>
      <c r="C36" s="12">
        <v>27</v>
      </c>
      <c r="D36" s="5" t="s">
        <v>220</v>
      </c>
      <c r="E36" s="4" t="s">
        <v>68</v>
      </c>
      <c r="F36" s="7" t="s">
        <v>21</v>
      </c>
      <c r="G36" s="8" t="s">
        <v>22</v>
      </c>
      <c r="H36" s="9">
        <v>400000</v>
      </c>
      <c r="I36" s="4" t="s">
        <v>41</v>
      </c>
      <c r="J36" s="5">
        <v>7221374898</v>
      </c>
      <c r="K36" s="13" t="s">
        <v>221</v>
      </c>
      <c r="L36" s="4" t="s">
        <v>25</v>
      </c>
      <c r="M36" s="12" t="s">
        <v>222</v>
      </c>
      <c r="N36" s="33">
        <v>2022</v>
      </c>
      <c r="O36" s="33"/>
    </row>
    <row r="37" spans="1:15" ht="96.75" customHeight="1">
      <c r="A37" s="17" t="s">
        <v>223</v>
      </c>
      <c r="B37" s="12" t="s">
        <v>224</v>
      </c>
      <c r="C37" s="12">
        <v>26</v>
      </c>
      <c r="D37" s="5" t="s">
        <v>225</v>
      </c>
      <c r="E37" s="4" t="s">
        <v>54</v>
      </c>
      <c r="F37" s="7" t="s">
        <v>31</v>
      </c>
      <c r="G37" s="8" t="s">
        <v>226</v>
      </c>
      <c r="H37" s="9">
        <v>361394</v>
      </c>
      <c r="I37" s="4" t="s">
        <v>41</v>
      </c>
      <c r="J37" s="5">
        <v>7121647873</v>
      </c>
      <c r="K37" s="13" t="s">
        <v>227</v>
      </c>
      <c r="L37" s="4" t="s">
        <v>25</v>
      </c>
      <c r="M37" s="12" t="s">
        <v>228</v>
      </c>
      <c r="N37" s="33">
        <v>2022</v>
      </c>
      <c r="O37" s="33"/>
    </row>
    <row r="38" spans="1:15" ht="96.75" customHeight="1">
      <c r="A38" s="17" t="s">
        <v>229</v>
      </c>
      <c r="B38" s="12" t="s">
        <v>230</v>
      </c>
      <c r="C38" s="12">
        <v>26</v>
      </c>
      <c r="D38" s="5" t="s">
        <v>231</v>
      </c>
      <c r="E38" s="4" t="s">
        <v>232</v>
      </c>
      <c r="F38" s="7" t="s">
        <v>55</v>
      </c>
      <c r="G38" s="8" t="s">
        <v>22</v>
      </c>
      <c r="H38" s="9">
        <v>400000</v>
      </c>
      <c r="I38" s="4" t="s">
        <v>41</v>
      </c>
      <c r="J38" s="5">
        <v>7291004982</v>
      </c>
      <c r="K38" s="13" t="s">
        <v>233</v>
      </c>
      <c r="L38" s="4" t="s">
        <v>234</v>
      </c>
      <c r="M38" s="12" t="s">
        <v>235</v>
      </c>
      <c r="N38" s="33">
        <v>2022</v>
      </c>
      <c r="O38" s="33"/>
    </row>
    <row r="39" spans="1:15" ht="103.5" customHeight="1">
      <c r="A39" s="17" t="s">
        <v>236</v>
      </c>
      <c r="B39" s="12" t="s">
        <v>237</v>
      </c>
      <c r="C39" s="12">
        <v>22</v>
      </c>
      <c r="D39" s="5" t="s">
        <v>238</v>
      </c>
      <c r="E39" s="4" t="s">
        <v>20</v>
      </c>
      <c r="F39" s="7" t="s">
        <v>160</v>
      </c>
      <c r="G39" s="8" t="s">
        <v>239</v>
      </c>
      <c r="H39" s="9">
        <v>400000</v>
      </c>
      <c r="I39" s="4" t="s">
        <v>41</v>
      </c>
      <c r="J39" s="5" t="s">
        <v>240</v>
      </c>
      <c r="K39" s="13" t="s">
        <v>241</v>
      </c>
      <c r="L39" s="4" t="s">
        <v>25</v>
      </c>
      <c r="M39" s="12" t="s">
        <v>242</v>
      </c>
      <c r="N39" s="33">
        <v>2022</v>
      </c>
      <c r="O39" s="33"/>
    </row>
    <row r="40" spans="1:15" ht="102.75" customHeight="1">
      <c r="A40" s="17" t="s">
        <v>243</v>
      </c>
      <c r="B40" s="12" t="s">
        <v>244</v>
      </c>
      <c r="C40" s="12">
        <v>21</v>
      </c>
      <c r="D40" s="5" t="s">
        <v>245</v>
      </c>
      <c r="E40" s="4" t="s">
        <v>246</v>
      </c>
      <c r="F40" s="7" t="s">
        <v>247</v>
      </c>
      <c r="G40" s="8" t="s">
        <v>239</v>
      </c>
      <c r="H40" s="9">
        <v>300000</v>
      </c>
      <c r="I40" s="4" t="s">
        <v>41</v>
      </c>
      <c r="J40" s="5">
        <v>5562143565</v>
      </c>
      <c r="K40" s="13" t="s">
        <v>248</v>
      </c>
      <c r="L40" s="4" t="s">
        <v>25</v>
      </c>
      <c r="M40" s="12" t="s">
        <v>249</v>
      </c>
      <c r="N40" s="33">
        <v>2022</v>
      </c>
      <c r="O40" s="33"/>
    </row>
    <row r="41" spans="1:15" ht="90.75" customHeight="1">
      <c r="A41" s="17" t="s">
        <v>250</v>
      </c>
      <c r="B41" s="12" t="s">
        <v>251</v>
      </c>
      <c r="C41" s="12">
        <v>22</v>
      </c>
      <c r="D41" s="5" t="s">
        <v>252</v>
      </c>
      <c r="E41" s="4" t="s">
        <v>68</v>
      </c>
      <c r="F41" s="7" t="s">
        <v>147</v>
      </c>
      <c r="G41" s="8" t="s">
        <v>182</v>
      </c>
      <c r="H41" s="9">
        <v>400000</v>
      </c>
      <c r="I41" s="4" t="s">
        <v>41</v>
      </c>
      <c r="J41" s="5" t="s">
        <v>253</v>
      </c>
      <c r="K41" s="13" t="s">
        <v>254</v>
      </c>
      <c r="L41" s="4" t="s">
        <v>25</v>
      </c>
      <c r="M41" s="12" t="s">
        <v>255</v>
      </c>
      <c r="N41" s="33">
        <v>2022</v>
      </c>
      <c r="O41" s="33"/>
    </row>
    <row r="42" spans="1:15" ht="96.75" customHeight="1">
      <c r="A42" s="17" t="s">
        <v>256</v>
      </c>
      <c r="B42" s="12" t="s">
        <v>257</v>
      </c>
      <c r="C42" s="12">
        <v>21</v>
      </c>
      <c r="D42" s="5" t="s">
        <v>258</v>
      </c>
      <c r="E42" s="4" t="s">
        <v>259</v>
      </c>
      <c r="F42" s="7" t="s">
        <v>39</v>
      </c>
      <c r="G42" s="8" t="s">
        <v>260</v>
      </c>
      <c r="H42" s="9">
        <v>357500</v>
      </c>
      <c r="I42" s="11" t="s">
        <v>23</v>
      </c>
      <c r="J42" s="5">
        <v>5520655371</v>
      </c>
      <c r="K42" s="13" t="s">
        <v>261</v>
      </c>
      <c r="L42" s="4" t="s">
        <v>25</v>
      </c>
      <c r="M42" s="12" t="s">
        <v>262</v>
      </c>
      <c r="N42" s="33">
        <v>2022</v>
      </c>
      <c r="O42" s="33"/>
    </row>
    <row r="43" spans="1:15" ht="104.25" customHeight="1">
      <c r="A43" s="17" t="s">
        <v>263</v>
      </c>
      <c r="B43" s="12" t="s">
        <v>264</v>
      </c>
      <c r="C43" s="12">
        <v>27</v>
      </c>
      <c r="D43" s="5" t="s">
        <v>265</v>
      </c>
      <c r="E43" s="4" t="s">
        <v>62</v>
      </c>
      <c r="F43" s="7" t="s">
        <v>266</v>
      </c>
      <c r="G43" s="8" t="s">
        <v>22</v>
      </c>
      <c r="H43" s="9">
        <v>400000</v>
      </c>
      <c r="I43" s="4" t="s">
        <v>41</v>
      </c>
      <c r="J43" s="5">
        <v>7222845282</v>
      </c>
      <c r="K43" s="13" t="s">
        <v>267</v>
      </c>
      <c r="L43" s="4" t="s">
        <v>25</v>
      </c>
      <c r="M43" s="12" t="s">
        <v>268</v>
      </c>
      <c r="N43" s="33">
        <v>2022</v>
      </c>
      <c r="O43" s="33"/>
    </row>
    <row r="44" spans="1:15" ht="101.25" customHeight="1">
      <c r="A44" s="17" t="s">
        <v>269</v>
      </c>
      <c r="B44" s="12" t="s">
        <v>270</v>
      </c>
      <c r="C44" s="12">
        <v>21</v>
      </c>
      <c r="D44" s="5" t="s">
        <v>271</v>
      </c>
      <c r="E44" s="4" t="s">
        <v>272</v>
      </c>
      <c r="F44" s="7" t="s">
        <v>83</v>
      </c>
      <c r="G44" s="8" t="s">
        <v>77</v>
      </c>
      <c r="H44" s="9">
        <v>398117</v>
      </c>
      <c r="I44" s="5" t="s">
        <v>23</v>
      </c>
      <c r="J44" s="5">
        <v>7296119971</v>
      </c>
      <c r="K44" s="13" t="s">
        <v>273</v>
      </c>
      <c r="L44" s="4" t="s">
        <v>25</v>
      </c>
      <c r="M44" s="12" t="s">
        <v>274</v>
      </c>
      <c r="N44" s="33">
        <v>2022</v>
      </c>
      <c r="O44" s="33"/>
    </row>
    <row r="45" spans="1:15" ht="87" customHeight="1">
      <c r="A45" s="17" t="s">
        <v>275</v>
      </c>
      <c r="B45" s="12" t="s">
        <v>276</v>
      </c>
      <c r="C45" s="12">
        <v>28</v>
      </c>
      <c r="D45" s="5" t="s">
        <v>277</v>
      </c>
      <c r="E45" s="4" t="s">
        <v>62</v>
      </c>
      <c r="F45" s="7" t="s">
        <v>278</v>
      </c>
      <c r="G45" s="8" t="s">
        <v>77</v>
      </c>
      <c r="H45" s="9">
        <v>398802</v>
      </c>
      <c r="I45" s="5" t="s">
        <v>23</v>
      </c>
      <c r="J45" s="5">
        <v>5511354533</v>
      </c>
      <c r="K45" s="13" t="s">
        <v>279</v>
      </c>
      <c r="L45" s="4" t="s">
        <v>25</v>
      </c>
      <c r="M45" s="12" t="s">
        <v>280</v>
      </c>
      <c r="N45" s="33">
        <v>2022</v>
      </c>
      <c r="O45" s="33"/>
    </row>
    <row r="46" spans="1:15" ht="103.5" customHeight="1">
      <c r="A46" s="17" t="s">
        <v>281</v>
      </c>
      <c r="B46" s="12" t="s">
        <v>282</v>
      </c>
      <c r="C46" s="12">
        <v>23</v>
      </c>
      <c r="D46" s="5" t="s">
        <v>283</v>
      </c>
      <c r="E46" s="4" t="s">
        <v>284</v>
      </c>
      <c r="F46" s="7" t="s">
        <v>21</v>
      </c>
      <c r="G46" s="8" t="s">
        <v>22</v>
      </c>
      <c r="H46" s="9">
        <v>393506</v>
      </c>
      <c r="I46" s="5" t="s">
        <v>23</v>
      </c>
      <c r="J46" s="5">
        <v>7221048533</v>
      </c>
      <c r="K46" s="13" t="s">
        <v>285</v>
      </c>
      <c r="L46" s="4" t="s">
        <v>25</v>
      </c>
      <c r="M46" s="12" t="s">
        <v>286</v>
      </c>
      <c r="N46" s="33">
        <v>2022</v>
      </c>
      <c r="O46" s="33"/>
    </row>
    <row r="47" spans="1:15" ht="96.75" customHeight="1">
      <c r="A47" s="17" t="s">
        <v>287</v>
      </c>
      <c r="B47" s="12" t="s">
        <v>288</v>
      </c>
      <c r="C47" s="12">
        <v>28</v>
      </c>
      <c r="D47" s="5" t="s">
        <v>289</v>
      </c>
      <c r="E47" s="6" t="s">
        <v>62</v>
      </c>
      <c r="F47" s="7" t="s">
        <v>290</v>
      </c>
      <c r="G47" s="8" t="s">
        <v>22</v>
      </c>
      <c r="H47" s="9">
        <v>400000</v>
      </c>
      <c r="I47" s="4" t="s">
        <v>41</v>
      </c>
      <c r="J47" s="5">
        <v>7222541170</v>
      </c>
      <c r="K47" s="13" t="s">
        <v>291</v>
      </c>
      <c r="L47" s="4" t="s">
        <v>25</v>
      </c>
      <c r="M47" s="12" t="s">
        <v>292</v>
      </c>
      <c r="N47" s="33">
        <v>2022</v>
      </c>
      <c r="O47" s="33"/>
    </row>
    <row r="48" spans="1:15" ht="81" customHeight="1">
      <c r="A48" s="17" t="s">
        <v>293</v>
      </c>
      <c r="B48" s="12" t="s">
        <v>294</v>
      </c>
      <c r="C48" s="12">
        <v>21</v>
      </c>
      <c r="D48" s="5" t="s">
        <v>295</v>
      </c>
      <c r="E48" s="6" t="s">
        <v>296</v>
      </c>
      <c r="F48" s="7" t="s">
        <v>297</v>
      </c>
      <c r="G48" s="8" t="s">
        <v>298</v>
      </c>
      <c r="H48" s="9">
        <v>250000</v>
      </c>
      <c r="I48" s="5" t="s">
        <v>23</v>
      </c>
      <c r="J48" s="5">
        <v>7321013772</v>
      </c>
      <c r="K48" s="13" t="s">
        <v>299</v>
      </c>
      <c r="L48" s="15" t="s">
        <v>135</v>
      </c>
      <c r="M48" s="12" t="s">
        <v>300</v>
      </c>
      <c r="N48" s="33">
        <v>2022</v>
      </c>
      <c r="O48" s="33"/>
    </row>
    <row r="49" spans="1:15" ht="96.75" customHeight="1">
      <c r="A49" s="17" t="s">
        <v>301</v>
      </c>
      <c r="B49" s="12" t="s">
        <v>302</v>
      </c>
      <c r="C49" s="12">
        <v>27</v>
      </c>
      <c r="D49" s="5" t="s">
        <v>303</v>
      </c>
      <c r="E49" s="6" t="s">
        <v>196</v>
      </c>
      <c r="F49" s="7" t="s">
        <v>304</v>
      </c>
      <c r="G49" s="8" t="s">
        <v>22</v>
      </c>
      <c r="H49" s="9">
        <v>395000</v>
      </c>
      <c r="I49" s="5" t="s">
        <v>23</v>
      </c>
      <c r="J49" s="5">
        <v>7291400075</v>
      </c>
      <c r="K49" s="13" t="s">
        <v>305</v>
      </c>
      <c r="L49" s="4" t="s">
        <v>25</v>
      </c>
      <c r="M49" s="12" t="s">
        <v>306</v>
      </c>
      <c r="N49" s="33">
        <v>2022</v>
      </c>
      <c r="O49" s="33"/>
    </row>
    <row r="50" spans="1:15" ht="101.25" customHeight="1">
      <c r="A50" s="17" t="s">
        <v>307</v>
      </c>
      <c r="B50" s="12" t="s">
        <v>308</v>
      </c>
      <c r="C50" s="12">
        <v>26</v>
      </c>
      <c r="D50" s="5" t="s">
        <v>309</v>
      </c>
      <c r="E50" s="6" t="s">
        <v>196</v>
      </c>
      <c r="F50" s="7" t="s">
        <v>310</v>
      </c>
      <c r="G50" s="8" t="s">
        <v>239</v>
      </c>
      <c r="H50" s="9">
        <v>400000</v>
      </c>
      <c r="I50" s="4" t="s">
        <v>41</v>
      </c>
      <c r="J50" s="5">
        <v>5620836161</v>
      </c>
      <c r="K50" s="13" t="s">
        <v>311</v>
      </c>
      <c r="L50" s="4" t="s">
        <v>25</v>
      </c>
      <c r="M50" s="12" t="s">
        <v>312</v>
      </c>
      <c r="N50" s="33">
        <v>2022</v>
      </c>
      <c r="O50" s="33"/>
    </row>
    <row r="51" spans="1:15" ht="96.75" customHeight="1">
      <c r="A51" s="17" t="s">
        <v>313</v>
      </c>
      <c r="B51" s="12" t="s">
        <v>314</v>
      </c>
      <c r="C51" s="12">
        <v>26</v>
      </c>
      <c r="D51" s="5" t="s">
        <v>315</v>
      </c>
      <c r="E51" s="6" t="s">
        <v>316</v>
      </c>
      <c r="F51" s="7" t="s">
        <v>160</v>
      </c>
      <c r="G51" s="8" t="s">
        <v>239</v>
      </c>
      <c r="H51" s="9">
        <v>400000</v>
      </c>
      <c r="I51" s="5" t="s">
        <v>23</v>
      </c>
      <c r="J51" s="5">
        <v>5585093454</v>
      </c>
      <c r="K51" s="13" t="s">
        <v>317</v>
      </c>
      <c r="L51" s="4" t="s">
        <v>25</v>
      </c>
      <c r="M51" s="12" t="s">
        <v>318</v>
      </c>
      <c r="N51" s="33">
        <v>2022</v>
      </c>
      <c r="O51" s="33"/>
    </row>
    <row r="52" spans="1:15" ht="103.5" customHeight="1">
      <c r="A52" s="17" t="s">
        <v>319</v>
      </c>
      <c r="B52" s="12" t="s">
        <v>320</v>
      </c>
      <c r="C52" s="12">
        <v>25</v>
      </c>
      <c r="D52" s="5" t="s">
        <v>321</v>
      </c>
      <c r="E52" s="6" t="s">
        <v>20</v>
      </c>
      <c r="F52" s="7" t="s">
        <v>247</v>
      </c>
      <c r="G52" s="8" t="s">
        <v>239</v>
      </c>
      <c r="H52" s="9">
        <v>400000</v>
      </c>
      <c r="I52" s="4" t="s">
        <v>41</v>
      </c>
      <c r="J52" s="5">
        <v>5566061383</v>
      </c>
      <c r="K52" s="13" t="s">
        <v>322</v>
      </c>
      <c r="L52" s="4" t="s">
        <v>25</v>
      </c>
      <c r="M52" s="12" t="s">
        <v>323</v>
      </c>
      <c r="N52" s="33">
        <v>2022</v>
      </c>
      <c r="O52" s="33"/>
    </row>
    <row r="53" spans="1:15" ht="66.75" customHeight="1">
      <c r="A53" s="17" t="s">
        <v>324</v>
      </c>
      <c r="B53" s="12" t="s">
        <v>325</v>
      </c>
      <c r="C53" s="12">
        <v>29</v>
      </c>
      <c r="D53" s="5" t="s">
        <v>326</v>
      </c>
      <c r="E53" s="6" t="s">
        <v>327</v>
      </c>
      <c r="F53" s="7" t="s">
        <v>39</v>
      </c>
      <c r="G53" s="8" t="s">
        <v>328</v>
      </c>
      <c r="H53" s="9">
        <v>350000</v>
      </c>
      <c r="I53" s="5" t="s">
        <v>23</v>
      </c>
      <c r="J53" s="5">
        <v>5522188546</v>
      </c>
      <c r="K53" s="14" t="s">
        <v>329</v>
      </c>
      <c r="L53" s="4" t="s">
        <v>25</v>
      </c>
      <c r="M53" s="12" t="s">
        <v>330</v>
      </c>
      <c r="N53" s="33">
        <v>2022</v>
      </c>
      <c r="O53" s="33"/>
    </row>
    <row r="54" spans="1:15" ht="89.25" customHeight="1">
      <c r="A54" s="17" t="s">
        <v>331</v>
      </c>
      <c r="B54" s="12" t="s">
        <v>332</v>
      </c>
      <c r="C54" s="12">
        <v>21</v>
      </c>
      <c r="D54" s="5" t="s">
        <v>333</v>
      </c>
      <c r="E54" s="6" t="s">
        <v>272</v>
      </c>
      <c r="F54" s="7" t="s">
        <v>160</v>
      </c>
      <c r="G54" s="8" t="s">
        <v>260</v>
      </c>
      <c r="H54" s="9">
        <v>378580</v>
      </c>
      <c r="I54" s="5" t="s">
        <v>23</v>
      </c>
      <c r="J54" s="5">
        <v>7131591178</v>
      </c>
      <c r="K54" s="14" t="s">
        <v>334</v>
      </c>
      <c r="L54" s="4" t="s">
        <v>25</v>
      </c>
      <c r="M54" s="12" t="s">
        <v>335</v>
      </c>
      <c r="N54" s="33">
        <v>2022</v>
      </c>
      <c r="O54" s="33"/>
    </row>
    <row r="55" spans="1:15" ht="96.75" customHeight="1">
      <c r="A55" s="17" t="s">
        <v>336</v>
      </c>
      <c r="B55" s="12" t="s">
        <v>337</v>
      </c>
      <c r="C55" s="12">
        <v>24</v>
      </c>
      <c r="D55" s="5" t="s">
        <v>338</v>
      </c>
      <c r="E55" s="6" t="s">
        <v>339</v>
      </c>
      <c r="F55" s="7" t="s">
        <v>48</v>
      </c>
      <c r="G55" s="8" t="s">
        <v>340</v>
      </c>
      <c r="H55" s="9">
        <v>400000</v>
      </c>
      <c r="I55" s="4" t="s">
        <v>41</v>
      </c>
      <c r="J55" s="5">
        <v>5543164525</v>
      </c>
      <c r="K55" s="14" t="s">
        <v>341</v>
      </c>
      <c r="L55" s="4" t="s">
        <v>25</v>
      </c>
      <c r="M55" s="12" t="s">
        <v>342</v>
      </c>
      <c r="N55" s="33">
        <v>2022</v>
      </c>
      <c r="O55" s="33"/>
    </row>
    <row r="56" spans="1:15" ht="102" customHeight="1">
      <c r="A56" s="17" t="s">
        <v>343</v>
      </c>
      <c r="B56" s="12" t="s">
        <v>344</v>
      </c>
      <c r="C56" s="12">
        <v>27</v>
      </c>
      <c r="D56" s="5" t="s">
        <v>345</v>
      </c>
      <c r="E56" s="6" t="s">
        <v>346</v>
      </c>
      <c r="F56" s="7" t="s">
        <v>189</v>
      </c>
      <c r="G56" s="8" t="s">
        <v>239</v>
      </c>
      <c r="H56" s="9">
        <v>400000</v>
      </c>
      <c r="I56" s="4" t="s">
        <v>41</v>
      </c>
      <c r="J56" s="5">
        <v>5577454570</v>
      </c>
      <c r="K56" s="14" t="s">
        <v>347</v>
      </c>
      <c r="L56" s="4" t="s">
        <v>25</v>
      </c>
      <c r="M56" s="12" t="s">
        <v>348</v>
      </c>
      <c r="N56" s="33">
        <v>2022</v>
      </c>
      <c r="O56" s="33"/>
    </row>
    <row r="57" spans="1:15" ht="75.75" customHeight="1">
      <c r="A57" s="17" t="s">
        <v>349</v>
      </c>
      <c r="B57" s="12" t="s">
        <v>350</v>
      </c>
      <c r="C57" s="12">
        <v>22</v>
      </c>
      <c r="D57" s="5" t="s">
        <v>351</v>
      </c>
      <c r="E57" s="6" t="s">
        <v>339</v>
      </c>
      <c r="F57" s="7" t="s">
        <v>21</v>
      </c>
      <c r="G57" s="8" t="s">
        <v>352</v>
      </c>
      <c r="H57" s="9">
        <v>400000</v>
      </c>
      <c r="I57" s="5" t="s">
        <v>23</v>
      </c>
      <c r="J57" s="5">
        <v>7226092058</v>
      </c>
      <c r="K57" s="14" t="s">
        <v>353</v>
      </c>
      <c r="L57" s="16" t="s">
        <v>191</v>
      </c>
      <c r="M57" s="12" t="s">
        <v>354</v>
      </c>
      <c r="N57" s="33">
        <v>2022</v>
      </c>
      <c r="O57" s="33"/>
    </row>
    <row r="58" spans="1:15" ht="74.25" customHeight="1">
      <c r="A58" s="17" t="s">
        <v>355</v>
      </c>
      <c r="B58" s="12" t="s">
        <v>356</v>
      </c>
      <c r="C58" s="12">
        <v>29</v>
      </c>
      <c r="D58" s="5" t="s">
        <v>357</v>
      </c>
      <c r="E58" s="6" t="s">
        <v>246</v>
      </c>
      <c r="F58" s="7" t="s">
        <v>174</v>
      </c>
      <c r="G58" s="8" t="s">
        <v>358</v>
      </c>
      <c r="H58" s="9">
        <v>262198</v>
      </c>
      <c r="I58" s="4" t="s">
        <v>41</v>
      </c>
      <c r="J58" s="5">
        <v>7222021327</v>
      </c>
      <c r="K58" s="14" t="s">
        <v>359</v>
      </c>
      <c r="L58" s="4" t="s">
        <v>25</v>
      </c>
      <c r="M58" s="12" t="s">
        <v>360</v>
      </c>
      <c r="N58" s="33">
        <v>2022</v>
      </c>
      <c r="O58" s="33"/>
    </row>
    <row r="59" spans="1:15" ht="96.75" customHeight="1">
      <c r="A59" s="17" t="s">
        <v>361</v>
      </c>
      <c r="B59" s="12" t="s">
        <v>362</v>
      </c>
      <c r="C59" s="12">
        <v>22</v>
      </c>
      <c r="D59" s="5" t="s">
        <v>363</v>
      </c>
      <c r="E59" s="6" t="s">
        <v>327</v>
      </c>
      <c r="F59" s="7" t="s">
        <v>83</v>
      </c>
      <c r="G59" s="8" t="s">
        <v>22</v>
      </c>
      <c r="H59" s="9">
        <v>280000</v>
      </c>
      <c r="I59" s="5" t="s">
        <v>23</v>
      </c>
      <c r="J59" s="5">
        <v>5587449276</v>
      </c>
      <c r="K59" s="13" t="s">
        <v>364</v>
      </c>
      <c r="L59" s="4" t="s">
        <v>25</v>
      </c>
      <c r="M59" s="12" t="s">
        <v>365</v>
      </c>
      <c r="N59" s="33">
        <v>2022</v>
      </c>
      <c r="O59" s="33"/>
    </row>
    <row r="60" spans="1:15" ht="90" customHeight="1">
      <c r="A60" s="17" t="s">
        <v>366</v>
      </c>
      <c r="B60" s="12" t="s">
        <v>367</v>
      </c>
      <c r="C60" s="12">
        <v>23</v>
      </c>
      <c r="D60" s="5" t="s">
        <v>368</v>
      </c>
      <c r="E60" s="6" t="s">
        <v>369</v>
      </c>
      <c r="F60" s="7" t="s">
        <v>21</v>
      </c>
      <c r="G60" s="8" t="s">
        <v>22</v>
      </c>
      <c r="H60" s="9">
        <v>370000</v>
      </c>
      <c r="I60" s="5" t="s">
        <v>23</v>
      </c>
      <c r="J60" s="5">
        <v>7225205729</v>
      </c>
      <c r="K60" s="14" t="s">
        <v>370</v>
      </c>
      <c r="L60" s="4" t="s">
        <v>25</v>
      </c>
      <c r="M60" s="12" t="s">
        <v>371</v>
      </c>
      <c r="N60" s="33">
        <v>2022</v>
      </c>
      <c r="O60" s="33"/>
    </row>
    <row r="61" spans="1:15" ht="90.75" customHeight="1">
      <c r="A61" s="17" t="s">
        <v>372</v>
      </c>
      <c r="B61" s="12" t="s">
        <v>373</v>
      </c>
      <c r="C61" s="12">
        <v>25</v>
      </c>
      <c r="D61" s="5" t="s">
        <v>374</v>
      </c>
      <c r="E61" s="6" t="s">
        <v>196</v>
      </c>
      <c r="F61" s="7" t="s">
        <v>39</v>
      </c>
      <c r="G61" s="8" t="s">
        <v>375</v>
      </c>
      <c r="H61" s="9">
        <v>400000</v>
      </c>
      <c r="I61" s="4" t="s">
        <v>41</v>
      </c>
      <c r="J61" s="5">
        <v>5561701322</v>
      </c>
      <c r="K61" s="14" t="s">
        <v>376</v>
      </c>
      <c r="L61" s="4" t="s">
        <v>25</v>
      </c>
      <c r="M61" s="12" t="s">
        <v>377</v>
      </c>
      <c r="N61" s="33">
        <v>2022</v>
      </c>
      <c r="O61" s="33"/>
    </row>
    <row r="62" spans="1:15" ht="96.75" customHeight="1">
      <c r="A62" s="17" t="s">
        <v>378</v>
      </c>
      <c r="B62" s="12" t="s">
        <v>379</v>
      </c>
      <c r="C62" s="12">
        <v>24</v>
      </c>
      <c r="D62" s="5" t="s">
        <v>380</v>
      </c>
      <c r="E62" s="6" t="s">
        <v>381</v>
      </c>
      <c r="F62" s="7" t="s">
        <v>382</v>
      </c>
      <c r="G62" s="8" t="s">
        <v>383</v>
      </c>
      <c r="H62" s="9">
        <v>400000</v>
      </c>
      <c r="I62" s="4" t="s">
        <v>41</v>
      </c>
      <c r="J62" s="5">
        <v>5585447968</v>
      </c>
      <c r="K62" s="14" t="s">
        <v>384</v>
      </c>
      <c r="L62" s="4" t="s">
        <v>25</v>
      </c>
      <c r="M62" s="12" t="s">
        <v>385</v>
      </c>
      <c r="N62" s="33">
        <v>2022</v>
      </c>
      <c r="O62" s="33"/>
    </row>
    <row r="63" spans="1:15" ht="96.75" customHeight="1">
      <c r="A63" s="17" t="s">
        <v>386</v>
      </c>
      <c r="B63" s="12" t="s">
        <v>387</v>
      </c>
      <c r="C63" s="12">
        <v>23</v>
      </c>
      <c r="D63" s="5" t="s">
        <v>388</v>
      </c>
      <c r="E63" s="6" t="s">
        <v>196</v>
      </c>
      <c r="F63" s="7" t="s">
        <v>389</v>
      </c>
      <c r="G63" s="8" t="s">
        <v>390</v>
      </c>
      <c r="H63" s="9">
        <v>400000</v>
      </c>
      <c r="I63" s="4" t="s">
        <v>41</v>
      </c>
      <c r="J63" s="5">
        <v>5569665798</v>
      </c>
      <c r="K63" s="14" t="s">
        <v>391</v>
      </c>
      <c r="L63" s="4" t="s">
        <v>25</v>
      </c>
      <c r="M63" s="12" t="s">
        <v>392</v>
      </c>
      <c r="N63" s="33">
        <v>2022</v>
      </c>
      <c r="O63" s="33"/>
    </row>
    <row r="64" spans="1:15" ht="96.75" customHeight="1">
      <c r="A64" s="17" t="s">
        <v>393</v>
      </c>
      <c r="B64" s="12" t="s">
        <v>394</v>
      </c>
      <c r="C64" s="12">
        <v>25</v>
      </c>
      <c r="D64" s="5" t="s">
        <v>395</v>
      </c>
      <c r="E64" s="6" t="s">
        <v>396</v>
      </c>
      <c r="F64" s="7" t="s">
        <v>83</v>
      </c>
      <c r="G64" s="8" t="s">
        <v>397</v>
      </c>
      <c r="H64" s="9">
        <v>400000</v>
      </c>
      <c r="I64" s="5" t="s">
        <v>23</v>
      </c>
      <c r="J64" s="5">
        <v>7221174774</v>
      </c>
      <c r="K64" s="14" t="s">
        <v>398</v>
      </c>
      <c r="L64" s="4" t="s">
        <v>25</v>
      </c>
      <c r="M64" s="12" t="s">
        <v>399</v>
      </c>
      <c r="N64" s="33">
        <v>2022</v>
      </c>
      <c r="O64" s="33"/>
    </row>
    <row r="65" spans="1:15" ht="96.75" customHeight="1">
      <c r="A65" s="17" t="s">
        <v>400</v>
      </c>
      <c r="B65" s="12" t="s">
        <v>401</v>
      </c>
      <c r="C65" s="12">
        <v>23</v>
      </c>
      <c r="D65" s="5" t="s">
        <v>402</v>
      </c>
      <c r="E65" s="6" t="s">
        <v>196</v>
      </c>
      <c r="F65" s="7" t="s">
        <v>403</v>
      </c>
      <c r="G65" s="8" t="s">
        <v>404</v>
      </c>
      <c r="H65" s="9">
        <v>179500</v>
      </c>
      <c r="I65" s="4" t="s">
        <v>41</v>
      </c>
      <c r="J65" s="5">
        <v>5623394191</v>
      </c>
      <c r="K65" s="14" t="s">
        <v>405</v>
      </c>
      <c r="L65" s="4" t="s">
        <v>25</v>
      </c>
      <c r="M65" s="12" t="s">
        <v>406</v>
      </c>
      <c r="N65" s="33">
        <v>2022</v>
      </c>
      <c r="O65" s="33"/>
    </row>
    <row r="66" spans="1:15" ht="96.75" customHeight="1">
      <c r="A66" s="17" t="s">
        <v>407</v>
      </c>
      <c r="B66" s="12" t="s">
        <v>408</v>
      </c>
      <c r="C66" s="12">
        <v>20</v>
      </c>
      <c r="D66" s="5" t="s">
        <v>409</v>
      </c>
      <c r="E66" s="6" t="s">
        <v>410</v>
      </c>
      <c r="F66" s="7" t="s">
        <v>111</v>
      </c>
      <c r="G66" s="8" t="s">
        <v>126</v>
      </c>
      <c r="H66" s="9">
        <v>399000</v>
      </c>
      <c r="I66" s="5" t="s">
        <v>23</v>
      </c>
      <c r="J66" s="5">
        <v>7295976397</v>
      </c>
      <c r="K66" s="14" t="s">
        <v>411</v>
      </c>
      <c r="L66" s="4" t="s">
        <v>25</v>
      </c>
      <c r="M66" s="12" t="s">
        <v>412</v>
      </c>
      <c r="N66" s="33">
        <v>2022</v>
      </c>
      <c r="O66" s="33"/>
    </row>
    <row r="67" spans="1:15" ht="96.75" customHeight="1">
      <c r="A67" s="17" t="s">
        <v>413</v>
      </c>
      <c r="B67" s="12" t="s">
        <v>414</v>
      </c>
      <c r="C67" s="12">
        <v>21</v>
      </c>
      <c r="D67" s="5" t="s">
        <v>415</v>
      </c>
      <c r="E67" s="6" t="s">
        <v>68</v>
      </c>
      <c r="F67" s="7" t="s">
        <v>111</v>
      </c>
      <c r="G67" s="8" t="s">
        <v>126</v>
      </c>
      <c r="H67" s="9">
        <v>400000</v>
      </c>
      <c r="I67" s="5" t="s">
        <v>23</v>
      </c>
      <c r="J67" s="5">
        <v>5566929298</v>
      </c>
      <c r="K67" s="14" t="s">
        <v>416</v>
      </c>
      <c r="L67" s="4" t="s">
        <v>25</v>
      </c>
      <c r="M67" s="12" t="s">
        <v>417</v>
      </c>
      <c r="N67" s="33">
        <v>2022</v>
      </c>
      <c r="O67" s="33"/>
    </row>
    <row r="68" spans="1:15" ht="88.5" customHeight="1">
      <c r="A68" s="17" t="s">
        <v>418</v>
      </c>
      <c r="B68" s="12" t="s">
        <v>419</v>
      </c>
      <c r="C68" s="12">
        <v>27</v>
      </c>
      <c r="D68" s="5" t="s">
        <v>420</v>
      </c>
      <c r="E68" s="6" t="s">
        <v>20</v>
      </c>
      <c r="F68" s="7" t="s">
        <v>125</v>
      </c>
      <c r="G68" s="8" t="s">
        <v>126</v>
      </c>
      <c r="H68" s="9">
        <v>390000</v>
      </c>
      <c r="I68" s="5" t="s">
        <v>23</v>
      </c>
      <c r="J68" s="5">
        <v>5610187647</v>
      </c>
      <c r="K68" s="14" t="s">
        <v>421</v>
      </c>
      <c r="L68" s="4" t="s">
        <v>25</v>
      </c>
      <c r="M68" s="12" t="s">
        <v>422</v>
      </c>
      <c r="N68" s="33">
        <v>2022</v>
      </c>
      <c r="O68" s="33"/>
    </row>
    <row r="69" spans="1:15" ht="96.75" customHeight="1">
      <c r="A69" s="17" t="s">
        <v>423</v>
      </c>
      <c r="B69" s="12" t="s">
        <v>424</v>
      </c>
      <c r="C69" s="12">
        <v>28</v>
      </c>
      <c r="D69" s="5" t="s">
        <v>425</v>
      </c>
      <c r="E69" s="6" t="s">
        <v>196</v>
      </c>
      <c r="F69" s="7" t="s">
        <v>125</v>
      </c>
      <c r="G69" s="8" t="s">
        <v>426</v>
      </c>
      <c r="H69" s="9">
        <v>315457</v>
      </c>
      <c r="I69" s="4" t="s">
        <v>41</v>
      </c>
      <c r="J69" s="5">
        <v>5529096770</v>
      </c>
      <c r="K69" s="14" t="s">
        <v>427</v>
      </c>
      <c r="L69" s="16" t="s">
        <v>191</v>
      </c>
      <c r="M69" s="12" t="s">
        <v>428</v>
      </c>
      <c r="N69" s="33">
        <v>2022</v>
      </c>
      <c r="O69" s="33"/>
    </row>
    <row r="70" spans="1:15" ht="96.75" customHeight="1">
      <c r="A70" s="17" t="s">
        <v>429</v>
      </c>
      <c r="B70" s="12" t="s">
        <v>430</v>
      </c>
      <c r="C70" s="12">
        <v>29</v>
      </c>
      <c r="D70" s="5" t="s">
        <v>431</v>
      </c>
      <c r="E70" s="6" t="s">
        <v>54</v>
      </c>
      <c r="F70" s="7" t="s">
        <v>432</v>
      </c>
      <c r="G70" s="8" t="s">
        <v>433</v>
      </c>
      <c r="H70" s="9">
        <v>400000</v>
      </c>
      <c r="I70" s="4" t="s">
        <v>41</v>
      </c>
      <c r="J70" s="5">
        <v>5585522284</v>
      </c>
      <c r="K70" s="14" t="s">
        <v>434</v>
      </c>
      <c r="L70" s="4" t="s">
        <v>25</v>
      </c>
      <c r="M70" s="12" t="s">
        <v>435</v>
      </c>
      <c r="N70" s="33">
        <v>2022</v>
      </c>
      <c r="O70" s="33"/>
    </row>
    <row r="71" spans="1:15" ht="36" customHeight="1">
      <c r="A71" s="247" t="s">
        <v>436</v>
      </c>
      <c r="B71" s="248"/>
      <c r="C71" s="248"/>
      <c r="D71" s="248"/>
      <c r="E71" s="248"/>
      <c r="F71" s="248"/>
      <c r="G71" s="248"/>
      <c r="H71" s="248"/>
      <c r="I71" s="248"/>
      <c r="J71" s="248"/>
      <c r="K71" s="248"/>
      <c r="L71" s="248"/>
      <c r="M71" s="248"/>
      <c r="N71" s="249"/>
      <c r="O71" s="250"/>
    </row>
    <row r="72" spans="1:15" ht="31.5">
      <c r="A72" s="15" t="s">
        <v>437</v>
      </c>
      <c r="B72" s="4" t="s">
        <v>438</v>
      </c>
      <c r="C72" s="4">
        <v>28</v>
      </c>
      <c r="D72" s="4" t="s">
        <v>439</v>
      </c>
      <c r="E72" s="6" t="s">
        <v>440</v>
      </c>
      <c r="F72" s="7" t="s">
        <v>21</v>
      </c>
      <c r="G72" s="8" t="s">
        <v>22</v>
      </c>
      <c r="H72" s="18">
        <v>364079</v>
      </c>
      <c r="I72" s="4" t="s">
        <v>41</v>
      </c>
      <c r="J72" s="5">
        <v>7228260920</v>
      </c>
      <c r="K72" s="13" t="s">
        <v>441</v>
      </c>
      <c r="L72" s="5" t="s">
        <v>25</v>
      </c>
      <c r="M72" s="19" t="s">
        <v>442</v>
      </c>
      <c r="N72" s="33">
        <v>2023</v>
      </c>
      <c r="O72" s="33"/>
    </row>
    <row r="73" spans="1:15" ht="62.25">
      <c r="A73" s="15" t="s">
        <v>443</v>
      </c>
      <c r="B73" s="4" t="s">
        <v>444</v>
      </c>
      <c r="C73" s="4">
        <v>22</v>
      </c>
      <c r="D73" s="4" t="s">
        <v>445</v>
      </c>
      <c r="E73" s="6" t="s">
        <v>446</v>
      </c>
      <c r="F73" s="7" t="s">
        <v>168</v>
      </c>
      <c r="G73" s="8" t="s">
        <v>148</v>
      </c>
      <c r="H73" s="9">
        <v>360438</v>
      </c>
      <c r="I73" s="4" t="s">
        <v>23</v>
      </c>
      <c r="J73" s="5">
        <v>5613392969</v>
      </c>
      <c r="K73" s="13" t="s">
        <v>447</v>
      </c>
      <c r="L73" s="5" t="s">
        <v>25</v>
      </c>
      <c r="M73" s="19" t="s">
        <v>448</v>
      </c>
      <c r="N73" s="33">
        <v>2023</v>
      </c>
      <c r="O73" s="33"/>
    </row>
    <row r="74" spans="1:15" ht="46.5">
      <c r="A74" s="15" t="s">
        <v>449</v>
      </c>
      <c r="B74" s="12" t="s">
        <v>450</v>
      </c>
      <c r="C74" s="12">
        <v>26</v>
      </c>
      <c r="D74" s="5" t="s">
        <v>451</v>
      </c>
      <c r="E74" s="6" t="s">
        <v>452</v>
      </c>
      <c r="F74" s="7" t="s">
        <v>125</v>
      </c>
      <c r="G74" s="8" t="s">
        <v>453</v>
      </c>
      <c r="H74" s="9">
        <v>255765</v>
      </c>
      <c r="I74" s="4" t="s">
        <v>23</v>
      </c>
      <c r="J74" s="5">
        <v>5610583832</v>
      </c>
      <c r="K74" s="13" t="s">
        <v>454</v>
      </c>
      <c r="L74" s="5" t="s">
        <v>25</v>
      </c>
      <c r="M74" s="19" t="s">
        <v>455</v>
      </c>
      <c r="N74" s="33">
        <v>2023</v>
      </c>
      <c r="O74" s="33"/>
    </row>
    <row r="75" spans="1:15" ht="46.5">
      <c r="A75" s="15" t="s">
        <v>456</v>
      </c>
      <c r="B75" s="12" t="s">
        <v>457</v>
      </c>
      <c r="C75" s="12">
        <v>26</v>
      </c>
      <c r="D75" s="5" t="s">
        <v>458</v>
      </c>
      <c r="E75" s="6" t="s">
        <v>440</v>
      </c>
      <c r="F75" s="7" t="s">
        <v>174</v>
      </c>
      <c r="G75" s="8" t="s">
        <v>459</v>
      </c>
      <c r="H75" s="9">
        <v>364079</v>
      </c>
      <c r="I75" s="4" t="s">
        <v>41</v>
      </c>
      <c r="J75" s="5">
        <v>7223093282</v>
      </c>
      <c r="K75" s="13" t="s">
        <v>460</v>
      </c>
      <c r="L75" s="5" t="s">
        <v>25</v>
      </c>
      <c r="M75" s="19" t="s">
        <v>461</v>
      </c>
      <c r="N75" s="33">
        <v>2023</v>
      </c>
      <c r="O75" s="33"/>
    </row>
    <row r="76" spans="1:15" ht="109.5">
      <c r="A76" s="15" t="s">
        <v>462</v>
      </c>
      <c r="B76" s="12" t="s">
        <v>463</v>
      </c>
      <c r="C76" s="12">
        <v>27</v>
      </c>
      <c r="D76" s="5" t="s">
        <v>464</v>
      </c>
      <c r="E76" s="6" t="s">
        <v>446</v>
      </c>
      <c r="F76" s="7" t="s">
        <v>465</v>
      </c>
      <c r="G76" s="8" t="s">
        <v>433</v>
      </c>
      <c r="H76" s="9">
        <v>319569</v>
      </c>
      <c r="I76" s="4" t="s">
        <v>41</v>
      </c>
      <c r="J76" s="5">
        <v>5569326230</v>
      </c>
      <c r="K76" s="13" t="s">
        <v>466</v>
      </c>
      <c r="L76" s="5" t="s">
        <v>25</v>
      </c>
      <c r="M76" s="19" t="s">
        <v>467</v>
      </c>
      <c r="N76" s="33">
        <v>2023</v>
      </c>
      <c r="O76" s="33"/>
    </row>
    <row r="77" spans="1:15" ht="93.75">
      <c r="A77" s="15" t="s">
        <v>468</v>
      </c>
      <c r="B77" s="12" t="s">
        <v>469</v>
      </c>
      <c r="C77" s="12">
        <v>26</v>
      </c>
      <c r="D77" s="5" t="s">
        <v>470</v>
      </c>
      <c r="E77" s="6" t="s">
        <v>471</v>
      </c>
      <c r="F77" s="7" t="s">
        <v>39</v>
      </c>
      <c r="G77" s="8" t="s">
        <v>40</v>
      </c>
      <c r="H77" s="9">
        <v>349516</v>
      </c>
      <c r="I77" s="4" t="s">
        <v>41</v>
      </c>
      <c r="J77" s="5" t="s">
        <v>472</v>
      </c>
      <c r="K77" s="13" t="s">
        <v>473</v>
      </c>
      <c r="L77" s="5" t="s">
        <v>25</v>
      </c>
      <c r="M77" s="19" t="s">
        <v>474</v>
      </c>
      <c r="N77" s="33">
        <v>2023</v>
      </c>
      <c r="O77" s="33"/>
    </row>
    <row r="78" spans="1:15" ht="46.5">
      <c r="A78" s="15" t="s">
        <v>475</v>
      </c>
      <c r="B78" s="12" t="s">
        <v>476</v>
      </c>
      <c r="C78" s="12">
        <v>25</v>
      </c>
      <c r="D78" s="5" t="s">
        <v>477</v>
      </c>
      <c r="E78" s="6" t="s">
        <v>478</v>
      </c>
      <c r="F78" s="7" t="s">
        <v>39</v>
      </c>
      <c r="G78" s="8" t="s">
        <v>40</v>
      </c>
      <c r="H78" s="9">
        <v>356797</v>
      </c>
      <c r="I78" s="4" t="s">
        <v>23</v>
      </c>
      <c r="J78" s="5">
        <v>5549382024</v>
      </c>
      <c r="K78" s="13" t="s">
        <v>479</v>
      </c>
      <c r="L78" s="5" t="s">
        <v>25</v>
      </c>
      <c r="M78" s="19" t="s">
        <v>480</v>
      </c>
      <c r="N78" s="33">
        <v>2023</v>
      </c>
      <c r="O78" s="33"/>
    </row>
    <row r="79" spans="1:15" ht="141">
      <c r="A79" s="15" t="s">
        <v>481</v>
      </c>
      <c r="B79" s="12" t="s">
        <v>96</v>
      </c>
      <c r="C79" s="12">
        <v>26</v>
      </c>
      <c r="D79" s="5" t="s">
        <v>482</v>
      </c>
      <c r="E79" s="6" t="s">
        <v>483</v>
      </c>
      <c r="F79" s="7" t="s">
        <v>21</v>
      </c>
      <c r="G79" s="8" t="s">
        <v>22</v>
      </c>
      <c r="H79" s="9">
        <v>364079</v>
      </c>
      <c r="I79" s="4" t="s">
        <v>23</v>
      </c>
      <c r="J79" s="5">
        <v>7222919091</v>
      </c>
      <c r="K79" s="13" t="s">
        <v>484</v>
      </c>
      <c r="L79" s="5" t="s">
        <v>25</v>
      </c>
      <c r="M79" s="19" t="s">
        <v>485</v>
      </c>
      <c r="N79" s="33">
        <v>2023</v>
      </c>
      <c r="O79" s="33"/>
    </row>
    <row r="80" spans="1:15" ht="46.5">
      <c r="A80" s="15" t="s">
        <v>486</v>
      </c>
      <c r="B80" s="12" t="s">
        <v>487</v>
      </c>
      <c r="C80" s="12">
        <v>29</v>
      </c>
      <c r="D80" s="5" t="s">
        <v>488</v>
      </c>
      <c r="E80" s="6" t="s">
        <v>471</v>
      </c>
      <c r="F80" s="7" t="s">
        <v>21</v>
      </c>
      <c r="G80" s="8" t="s">
        <v>22</v>
      </c>
      <c r="H80" s="9">
        <v>363834</v>
      </c>
      <c r="I80" s="4" t="s">
        <v>23</v>
      </c>
      <c r="J80" s="5" t="s">
        <v>489</v>
      </c>
      <c r="K80" s="13" t="s">
        <v>490</v>
      </c>
      <c r="L80" s="5" t="s">
        <v>25</v>
      </c>
      <c r="M80" s="19" t="s">
        <v>491</v>
      </c>
      <c r="N80" s="33">
        <v>2023</v>
      </c>
      <c r="O80" s="33"/>
    </row>
    <row r="81" spans="1:15" ht="109.5">
      <c r="A81" s="15" t="s">
        <v>492</v>
      </c>
      <c r="B81" s="12" t="s">
        <v>493</v>
      </c>
      <c r="C81" s="12">
        <v>23</v>
      </c>
      <c r="D81" s="5" t="s">
        <v>494</v>
      </c>
      <c r="E81" s="6" t="s">
        <v>62</v>
      </c>
      <c r="F81" s="7" t="s">
        <v>21</v>
      </c>
      <c r="G81" s="8" t="s">
        <v>22</v>
      </c>
      <c r="H81" s="9">
        <v>364079</v>
      </c>
      <c r="I81" s="4" t="s">
        <v>41</v>
      </c>
      <c r="J81" s="5">
        <v>7222617967</v>
      </c>
      <c r="K81" s="13" t="s">
        <v>495</v>
      </c>
      <c r="L81" s="5" t="s">
        <v>25</v>
      </c>
      <c r="M81" s="19" t="s">
        <v>496</v>
      </c>
      <c r="N81" s="33">
        <v>2023</v>
      </c>
      <c r="O81" s="33"/>
    </row>
    <row r="82" spans="1:15" ht="31.5">
      <c r="A82" s="15" t="s">
        <v>497</v>
      </c>
      <c r="B82" s="12" t="s">
        <v>498</v>
      </c>
      <c r="C82" s="12">
        <v>29</v>
      </c>
      <c r="D82" s="5" t="s">
        <v>499</v>
      </c>
      <c r="E82" s="6" t="s">
        <v>446</v>
      </c>
      <c r="F82" s="7" t="s">
        <v>21</v>
      </c>
      <c r="G82" s="8" t="s">
        <v>22</v>
      </c>
      <c r="H82" s="9">
        <v>164746</v>
      </c>
      <c r="I82" s="4" t="s">
        <v>41</v>
      </c>
      <c r="J82" s="5">
        <v>7225735282</v>
      </c>
      <c r="K82" s="13" t="s">
        <v>500</v>
      </c>
      <c r="L82" s="5" t="s">
        <v>25</v>
      </c>
      <c r="M82" s="19" t="s">
        <v>501</v>
      </c>
      <c r="N82" s="33">
        <v>2023</v>
      </c>
      <c r="O82" s="33"/>
    </row>
    <row r="83" spans="1:15" ht="46.5">
      <c r="A83" s="15" t="s">
        <v>502</v>
      </c>
      <c r="B83" s="12" t="s">
        <v>503</v>
      </c>
      <c r="C83" s="12">
        <v>23</v>
      </c>
      <c r="D83" s="5" t="s">
        <v>504</v>
      </c>
      <c r="E83" s="6" t="s">
        <v>272</v>
      </c>
      <c r="F83" s="7" t="s">
        <v>147</v>
      </c>
      <c r="G83" s="8" t="s">
        <v>260</v>
      </c>
      <c r="H83" s="9">
        <v>273059</v>
      </c>
      <c r="I83" s="4" t="s">
        <v>23</v>
      </c>
      <c r="J83" s="5">
        <v>5524337084</v>
      </c>
      <c r="K83" s="13" t="s">
        <v>505</v>
      </c>
      <c r="L83" s="5" t="s">
        <v>25</v>
      </c>
      <c r="M83" s="19" t="s">
        <v>506</v>
      </c>
      <c r="N83" s="33">
        <v>2023</v>
      </c>
      <c r="O83" s="33"/>
    </row>
    <row r="84" spans="1:15" ht="109.5">
      <c r="A84" s="15" t="s">
        <v>507</v>
      </c>
      <c r="B84" s="12" t="s">
        <v>508</v>
      </c>
      <c r="C84" s="12">
        <v>27</v>
      </c>
      <c r="D84" s="5" t="s">
        <v>509</v>
      </c>
      <c r="E84" s="6" t="s">
        <v>446</v>
      </c>
      <c r="F84" s="7" t="s">
        <v>83</v>
      </c>
      <c r="G84" s="8" t="s">
        <v>510</v>
      </c>
      <c r="H84" s="9">
        <v>338284</v>
      </c>
      <c r="I84" s="4" t="s">
        <v>41</v>
      </c>
      <c r="J84" s="5">
        <v>7121524679</v>
      </c>
      <c r="K84" s="13" t="s">
        <v>85</v>
      </c>
      <c r="L84" s="5" t="s">
        <v>25</v>
      </c>
      <c r="M84" s="19" t="s">
        <v>511</v>
      </c>
      <c r="N84" s="33">
        <v>2023</v>
      </c>
      <c r="O84" s="33"/>
    </row>
    <row r="85" spans="1:15" ht="78">
      <c r="A85" s="15" t="s">
        <v>512</v>
      </c>
      <c r="B85" s="12" t="s">
        <v>513</v>
      </c>
      <c r="C85" s="12">
        <v>22</v>
      </c>
      <c r="D85" s="5" t="s">
        <v>514</v>
      </c>
      <c r="E85" s="6" t="s">
        <v>515</v>
      </c>
      <c r="F85" s="7" t="s">
        <v>21</v>
      </c>
      <c r="G85" s="8" t="s">
        <v>70</v>
      </c>
      <c r="H85" s="9">
        <v>336773</v>
      </c>
      <c r="I85" s="4" t="s">
        <v>41</v>
      </c>
      <c r="J85" s="5">
        <v>7221579027</v>
      </c>
      <c r="K85" s="13" t="s">
        <v>516</v>
      </c>
      <c r="L85" s="5" t="s">
        <v>25</v>
      </c>
      <c r="M85" s="19" t="s">
        <v>517</v>
      </c>
      <c r="N85" s="33">
        <v>2023</v>
      </c>
      <c r="O85" s="33"/>
    </row>
    <row r="86" spans="1:15" ht="93.75">
      <c r="A86" s="15" t="s">
        <v>518</v>
      </c>
      <c r="B86" s="12" t="s">
        <v>28</v>
      </c>
      <c r="C86" s="12">
        <v>25</v>
      </c>
      <c r="D86" s="5" t="s">
        <v>519</v>
      </c>
      <c r="E86" s="6" t="s">
        <v>446</v>
      </c>
      <c r="F86" s="7" t="s">
        <v>31</v>
      </c>
      <c r="G86" s="8" t="s">
        <v>22</v>
      </c>
      <c r="H86" s="9">
        <v>364079</v>
      </c>
      <c r="I86" s="4" t="s">
        <v>41</v>
      </c>
      <c r="J86" s="5">
        <v>5518513035</v>
      </c>
      <c r="K86" s="13" t="s">
        <v>520</v>
      </c>
      <c r="L86" s="5" t="s">
        <v>25</v>
      </c>
      <c r="M86" s="19" t="s">
        <v>521</v>
      </c>
      <c r="N86" s="33">
        <v>2023</v>
      </c>
      <c r="O86" s="33"/>
    </row>
    <row r="87" spans="1:15" ht="46.5">
      <c r="A87" s="15" t="s">
        <v>522</v>
      </c>
      <c r="B87" s="12" t="s">
        <v>523</v>
      </c>
      <c r="C87" s="12">
        <v>25</v>
      </c>
      <c r="D87" s="5" t="s">
        <v>524</v>
      </c>
      <c r="E87" s="6" t="s">
        <v>446</v>
      </c>
      <c r="F87" s="7" t="s">
        <v>55</v>
      </c>
      <c r="G87" s="8" t="s">
        <v>22</v>
      </c>
      <c r="H87" s="9">
        <v>362360</v>
      </c>
      <c r="I87" s="4" t="s">
        <v>41</v>
      </c>
      <c r="J87" s="5" t="s">
        <v>525</v>
      </c>
      <c r="K87" s="13" t="s">
        <v>526</v>
      </c>
      <c r="L87" s="5" t="s">
        <v>25</v>
      </c>
      <c r="M87" s="19" t="s">
        <v>527</v>
      </c>
      <c r="N87" s="33">
        <v>2023</v>
      </c>
      <c r="O87" s="33"/>
    </row>
    <row r="88" spans="1:15" ht="46.5">
      <c r="A88" s="15" t="s">
        <v>528</v>
      </c>
      <c r="B88" s="12" t="s">
        <v>529</v>
      </c>
      <c r="C88" s="12">
        <v>25</v>
      </c>
      <c r="D88" s="5" t="s">
        <v>530</v>
      </c>
      <c r="E88" s="6" t="s">
        <v>515</v>
      </c>
      <c r="F88" s="7" t="s">
        <v>304</v>
      </c>
      <c r="G88" s="8" t="s">
        <v>531</v>
      </c>
      <c r="H88" s="9">
        <v>318569</v>
      </c>
      <c r="I88" s="4" t="s">
        <v>41</v>
      </c>
      <c r="J88" s="9" t="s">
        <v>532</v>
      </c>
      <c r="K88" s="13" t="s">
        <v>533</v>
      </c>
      <c r="L88" s="5" t="s">
        <v>25</v>
      </c>
      <c r="M88" s="19" t="s">
        <v>534</v>
      </c>
      <c r="N88" s="33">
        <v>2023</v>
      </c>
      <c r="O88" s="33"/>
    </row>
    <row r="89" spans="1:15" ht="78">
      <c r="A89" s="15" t="s">
        <v>535</v>
      </c>
      <c r="B89" s="12" t="s">
        <v>536</v>
      </c>
      <c r="C89" s="12">
        <v>27</v>
      </c>
      <c r="D89" s="5" t="s">
        <v>537</v>
      </c>
      <c r="E89" s="6" t="s">
        <v>538</v>
      </c>
      <c r="F89" s="7" t="s">
        <v>21</v>
      </c>
      <c r="G89" s="8" t="s">
        <v>539</v>
      </c>
      <c r="H89" s="9">
        <v>364079</v>
      </c>
      <c r="I89" s="4" t="s">
        <v>41</v>
      </c>
      <c r="J89" s="5">
        <v>5521963374</v>
      </c>
      <c r="K89" s="13" t="s">
        <v>540</v>
      </c>
      <c r="L89" s="5" t="s">
        <v>25</v>
      </c>
      <c r="M89" s="19" t="s">
        <v>541</v>
      </c>
      <c r="N89" s="33">
        <v>2023</v>
      </c>
      <c r="O89" s="33"/>
    </row>
    <row r="90" spans="1:15" ht="62.25">
      <c r="A90" s="15" t="s">
        <v>542</v>
      </c>
      <c r="B90" s="12" t="s">
        <v>543</v>
      </c>
      <c r="C90" s="12">
        <v>24</v>
      </c>
      <c r="D90" s="5" t="s">
        <v>544</v>
      </c>
      <c r="E90" s="6" t="s">
        <v>471</v>
      </c>
      <c r="F90" s="7" t="s">
        <v>545</v>
      </c>
      <c r="G90" s="8" t="s">
        <v>546</v>
      </c>
      <c r="H90" s="9">
        <v>273059</v>
      </c>
      <c r="I90" s="4" t="s">
        <v>41</v>
      </c>
      <c r="J90" s="5">
        <v>5582905253</v>
      </c>
      <c r="K90" s="13" t="s">
        <v>547</v>
      </c>
      <c r="L90" s="5" t="s">
        <v>25</v>
      </c>
      <c r="M90" s="19" t="s">
        <v>548</v>
      </c>
      <c r="N90" s="33">
        <v>2023</v>
      </c>
      <c r="O90" s="33"/>
    </row>
    <row r="91" spans="1:15" ht="78">
      <c r="A91" s="15" t="s">
        <v>549</v>
      </c>
      <c r="B91" s="12" t="s">
        <v>550</v>
      </c>
      <c r="C91" s="12">
        <v>21</v>
      </c>
      <c r="D91" s="5" t="s">
        <v>551</v>
      </c>
      <c r="E91" s="6" t="s">
        <v>515</v>
      </c>
      <c r="F91" s="7" t="s">
        <v>545</v>
      </c>
      <c r="G91" s="8" t="s">
        <v>546</v>
      </c>
      <c r="H91" s="9">
        <v>364079</v>
      </c>
      <c r="I91" s="4" t="s">
        <v>23</v>
      </c>
      <c r="J91" s="5">
        <v>5568142849</v>
      </c>
      <c r="K91" s="13" t="s">
        <v>552</v>
      </c>
      <c r="L91" s="5" t="s">
        <v>25</v>
      </c>
      <c r="M91" s="19" t="s">
        <v>553</v>
      </c>
      <c r="N91" s="33">
        <v>2023</v>
      </c>
      <c r="O91" s="33"/>
    </row>
    <row r="92" spans="1:15" ht="46.5">
      <c r="A92" s="15" t="s">
        <v>554</v>
      </c>
      <c r="B92" s="12" t="s">
        <v>555</v>
      </c>
      <c r="C92" s="12">
        <v>27</v>
      </c>
      <c r="D92" s="5" t="s">
        <v>556</v>
      </c>
      <c r="E92" s="6" t="s">
        <v>62</v>
      </c>
      <c r="F92" s="7" t="s">
        <v>48</v>
      </c>
      <c r="G92" s="8" t="s">
        <v>40</v>
      </c>
      <c r="H92" s="9">
        <v>364079</v>
      </c>
      <c r="I92" s="4" t="s">
        <v>23</v>
      </c>
      <c r="J92" s="5">
        <v>5523080659</v>
      </c>
      <c r="K92" s="13" t="s">
        <v>557</v>
      </c>
      <c r="L92" s="5" t="s">
        <v>25</v>
      </c>
      <c r="M92" s="19" t="s">
        <v>558</v>
      </c>
      <c r="N92" s="33">
        <v>2023</v>
      </c>
      <c r="O92" s="33"/>
    </row>
    <row r="93" spans="1:15" ht="31.5">
      <c r="A93" s="15" t="s">
        <v>559</v>
      </c>
      <c r="B93" s="12" t="s">
        <v>560</v>
      </c>
      <c r="C93" s="12">
        <v>29</v>
      </c>
      <c r="D93" s="5" t="s">
        <v>561</v>
      </c>
      <c r="E93" s="6" t="s">
        <v>62</v>
      </c>
      <c r="F93" s="7" t="s">
        <v>21</v>
      </c>
      <c r="G93" s="8" t="s">
        <v>22</v>
      </c>
      <c r="H93" s="9">
        <v>364079</v>
      </c>
      <c r="I93" s="4" t="s">
        <v>41</v>
      </c>
      <c r="J93" s="5">
        <v>7224246276</v>
      </c>
      <c r="K93" s="14" t="s">
        <v>562</v>
      </c>
      <c r="L93" s="24"/>
      <c r="M93" s="19" t="s">
        <v>563</v>
      </c>
      <c r="N93" s="33">
        <v>2023</v>
      </c>
      <c r="O93" s="33"/>
    </row>
    <row r="94" spans="1:15" ht="62.25">
      <c r="A94" s="15" t="s">
        <v>564</v>
      </c>
      <c r="B94" s="12" t="s">
        <v>565</v>
      </c>
      <c r="C94" s="12">
        <v>25</v>
      </c>
      <c r="D94" s="5" t="s">
        <v>566</v>
      </c>
      <c r="E94" s="6" t="s">
        <v>20</v>
      </c>
      <c r="F94" s="7" t="s">
        <v>168</v>
      </c>
      <c r="G94" s="8" t="s">
        <v>148</v>
      </c>
      <c r="H94" s="9">
        <v>364079</v>
      </c>
      <c r="I94" s="4" t="s">
        <v>41</v>
      </c>
      <c r="J94" s="5" t="s">
        <v>567</v>
      </c>
      <c r="K94" s="14" t="s">
        <v>568</v>
      </c>
      <c r="L94" s="24"/>
      <c r="M94" s="19" t="s">
        <v>569</v>
      </c>
      <c r="N94" s="33">
        <v>2023</v>
      </c>
      <c r="O94" s="33"/>
    </row>
    <row r="95" spans="1:15" ht="62.25">
      <c r="A95" s="15" t="s">
        <v>570</v>
      </c>
      <c r="B95" s="12" t="s">
        <v>571</v>
      </c>
      <c r="C95" s="12">
        <v>23</v>
      </c>
      <c r="D95" s="5" t="s">
        <v>572</v>
      </c>
      <c r="E95" s="6" t="s">
        <v>446</v>
      </c>
      <c r="F95" s="7" t="s">
        <v>76</v>
      </c>
      <c r="G95" s="8" t="s">
        <v>573</v>
      </c>
      <c r="H95" s="9">
        <v>363396</v>
      </c>
      <c r="I95" s="4" t="s">
        <v>23</v>
      </c>
      <c r="J95" s="5">
        <v>7292619091</v>
      </c>
      <c r="K95" s="14" t="s">
        <v>574</v>
      </c>
      <c r="L95" s="5" t="s">
        <v>25</v>
      </c>
      <c r="M95" s="19" t="s">
        <v>575</v>
      </c>
      <c r="N95" s="33">
        <v>2023</v>
      </c>
      <c r="O95" s="33"/>
    </row>
    <row r="96" spans="1:15" ht="46.5">
      <c r="A96" s="15" t="s">
        <v>576</v>
      </c>
      <c r="B96" s="12" t="s">
        <v>577</v>
      </c>
      <c r="C96" s="12">
        <v>23</v>
      </c>
      <c r="D96" s="5" t="s">
        <v>578</v>
      </c>
      <c r="E96" s="6" t="s">
        <v>446</v>
      </c>
      <c r="F96" s="7" t="s">
        <v>579</v>
      </c>
      <c r="G96" s="8" t="s">
        <v>239</v>
      </c>
      <c r="H96" s="9">
        <v>364079</v>
      </c>
      <c r="I96" s="4" t="s">
        <v>41</v>
      </c>
      <c r="J96" s="5">
        <v>5548197462</v>
      </c>
      <c r="K96" s="14" t="s">
        <v>580</v>
      </c>
      <c r="L96" s="24"/>
      <c r="M96" s="19" t="s">
        <v>581</v>
      </c>
      <c r="N96" s="33">
        <v>2023</v>
      </c>
      <c r="O96" s="33"/>
    </row>
    <row r="97" spans="1:15" ht="78">
      <c r="A97" s="15" t="s">
        <v>582</v>
      </c>
      <c r="B97" s="12" t="s">
        <v>583</v>
      </c>
      <c r="C97" s="12">
        <v>22</v>
      </c>
      <c r="D97" s="5" t="s">
        <v>584</v>
      </c>
      <c r="E97" s="6" t="s">
        <v>20</v>
      </c>
      <c r="F97" s="7" t="s">
        <v>247</v>
      </c>
      <c r="G97" s="8" t="s">
        <v>239</v>
      </c>
      <c r="H97" s="9">
        <v>364079</v>
      </c>
      <c r="I97" s="4" t="s">
        <v>23</v>
      </c>
      <c r="J97" s="5">
        <v>5541040908</v>
      </c>
      <c r="K97" s="14" t="s">
        <v>585</v>
      </c>
      <c r="L97" s="24"/>
      <c r="M97" s="19" t="s">
        <v>586</v>
      </c>
      <c r="N97" s="33">
        <v>2023</v>
      </c>
      <c r="O97" s="33"/>
    </row>
    <row r="98" spans="1:15" ht="62.25">
      <c r="A98" s="15" t="s">
        <v>587</v>
      </c>
      <c r="B98" s="12" t="s">
        <v>588</v>
      </c>
      <c r="C98" s="12">
        <v>24</v>
      </c>
      <c r="D98" s="5" t="s">
        <v>589</v>
      </c>
      <c r="E98" s="6" t="s">
        <v>339</v>
      </c>
      <c r="F98" s="7" t="s">
        <v>39</v>
      </c>
      <c r="G98" s="8" t="s">
        <v>40</v>
      </c>
      <c r="H98" s="9">
        <v>262137</v>
      </c>
      <c r="I98" s="4" t="s">
        <v>41</v>
      </c>
      <c r="J98" s="5">
        <v>5530871417</v>
      </c>
      <c r="K98" s="14" t="s">
        <v>590</v>
      </c>
      <c r="L98" s="24"/>
      <c r="M98" s="19" t="s">
        <v>591</v>
      </c>
      <c r="N98" s="33">
        <v>2023</v>
      </c>
      <c r="O98" s="33"/>
    </row>
    <row r="99" spans="1:15" ht="62.25">
      <c r="A99" s="15" t="s">
        <v>592</v>
      </c>
      <c r="B99" s="12" t="s">
        <v>593</v>
      </c>
      <c r="C99" s="12">
        <v>27</v>
      </c>
      <c r="D99" s="5" t="s">
        <v>594</v>
      </c>
      <c r="E99" s="6" t="s">
        <v>440</v>
      </c>
      <c r="F99" s="7" t="s">
        <v>21</v>
      </c>
      <c r="G99" s="8" t="s">
        <v>22</v>
      </c>
      <c r="H99" s="9">
        <v>358618</v>
      </c>
      <c r="I99" s="4" t="s">
        <v>41</v>
      </c>
      <c r="J99" s="5">
        <v>7224061030</v>
      </c>
      <c r="K99" s="14" t="s">
        <v>595</v>
      </c>
      <c r="L99" s="24"/>
      <c r="M99" s="19" t="s">
        <v>596</v>
      </c>
      <c r="N99" s="33">
        <v>2023</v>
      </c>
      <c r="O99" s="33"/>
    </row>
    <row r="100" spans="1:15" ht="109.5">
      <c r="A100" s="15" t="s">
        <v>597</v>
      </c>
      <c r="B100" s="12" t="s">
        <v>598</v>
      </c>
      <c r="C100" s="12">
        <v>23</v>
      </c>
      <c r="D100" s="5" t="s">
        <v>599</v>
      </c>
      <c r="E100" s="6" t="s">
        <v>446</v>
      </c>
      <c r="F100" s="7" t="s">
        <v>160</v>
      </c>
      <c r="G100" s="8" t="s">
        <v>239</v>
      </c>
      <c r="H100" s="9">
        <v>364079</v>
      </c>
      <c r="I100" s="4" t="s">
        <v>23</v>
      </c>
      <c r="J100" s="5">
        <v>5614356276</v>
      </c>
      <c r="K100" s="14" t="s">
        <v>600</v>
      </c>
      <c r="L100" s="24"/>
      <c r="M100" s="19" t="s">
        <v>601</v>
      </c>
      <c r="N100" s="33">
        <v>2023</v>
      </c>
      <c r="O100" s="33"/>
    </row>
    <row r="101" spans="1:15" ht="93.75">
      <c r="A101" s="15" t="s">
        <v>602</v>
      </c>
      <c r="B101" s="12" t="s">
        <v>603</v>
      </c>
      <c r="C101" s="12">
        <v>28</v>
      </c>
      <c r="D101" s="5" t="s">
        <v>604</v>
      </c>
      <c r="E101" s="6" t="s">
        <v>605</v>
      </c>
      <c r="F101" s="7" t="s">
        <v>21</v>
      </c>
      <c r="G101" s="8" t="s">
        <v>22</v>
      </c>
      <c r="H101" s="9">
        <v>233921</v>
      </c>
      <c r="I101" s="4" t="s">
        <v>23</v>
      </c>
      <c r="J101" s="5">
        <v>2321259263</v>
      </c>
      <c r="K101" s="14" t="s">
        <v>606</v>
      </c>
      <c r="L101" s="24"/>
      <c r="M101" s="19" t="s">
        <v>607</v>
      </c>
      <c r="N101" s="33">
        <v>2023</v>
      </c>
      <c r="O101" s="33"/>
    </row>
    <row r="102" spans="1:15" ht="93.75">
      <c r="A102" s="15" t="s">
        <v>608</v>
      </c>
      <c r="B102" s="12" t="s">
        <v>609</v>
      </c>
      <c r="C102" s="12">
        <v>21</v>
      </c>
      <c r="D102" s="5" t="s">
        <v>610</v>
      </c>
      <c r="E102" s="6" t="s">
        <v>339</v>
      </c>
      <c r="F102" s="7" t="s">
        <v>21</v>
      </c>
      <c r="G102" s="8" t="s">
        <v>22</v>
      </c>
      <c r="H102" s="9">
        <v>323643</v>
      </c>
      <c r="I102" s="4" t="s">
        <v>23</v>
      </c>
      <c r="J102" s="5">
        <v>7228013313</v>
      </c>
      <c r="K102" s="14" t="s">
        <v>611</v>
      </c>
      <c r="L102" s="24"/>
      <c r="M102" s="19" t="s">
        <v>612</v>
      </c>
      <c r="N102" s="33">
        <v>2023</v>
      </c>
      <c r="O102" s="33"/>
    </row>
    <row r="103" spans="1:15" ht="78">
      <c r="A103" s="15" t="s">
        <v>613</v>
      </c>
      <c r="B103" s="12" t="s">
        <v>614</v>
      </c>
      <c r="C103" s="12">
        <v>28</v>
      </c>
      <c r="D103" s="5" t="s">
        <v>615</v>
      </c>
      <c r="E103" s="6" t="s">
        <v>616</v>
      </c>
      <c r="F103" s="7" t="s">
        <v>617</v>
      </c>
      <c r="G103" s="8" t="s">
        <v>22</v>
      </c>
      <c r="H103" s="9">
        <v>141698</v>
      </c>
      <c r="I103" s="4" t="s">
        <v>23</v>
      </c>
      <c r="J103" s="5">
        <v>7222020687</v>
      </c>
      <c r="K103" s="14" t="s">
        <v>618</v>
      </c>
      <c r="L103" s="24"/>
      <c r="M103" s="19" t="s">
        <v>619</v>
      </c>
      <c r="N103" s="33">
        <v>2023</v>
      </c>
      <c r="O103" s="33"/>
    </row>
    <row r="104" spans="1:15" ht="46.5">
      <c r="A104" s="15" t="s">
        <v>620</v>
      </c>
      <c r="B104" s="12" t="s">
        <v>621</v>
      </c>
      <c r="C104" s="12">
        <v>26</v>
      </c>
      <c r="D104" s="5" t="s">
        <v>622</v>
      </c>
      <c r="E104" s="6" t="s">
        <v>446</v>
      </c>
      <c r="F104" s="7" t="s">
        <v>21</v>
      </c>
      <c r="G104" s="8" t="s">
        <v>22</v>
      </c>
      <c r="H104" s="9">
        <v>361266</v>
      </c>
      <c r="I104" s="4" t="s">
        <v>41</v>
      </c>
      <c r="J104" s="5">
        <v>7224347047</v>
      </c>
      <c r="K104" s="14" t="s">
        <v>623</v>
      </c>
      <c r="L104" s="24"/>
      <c r="M104" s="19" t="s">
        <v>624</v>
      </c>
      <c r="N104" s="33">
        <v>2023</v>
      </c>
      <c r="O104" s="33"/>
    </row>
    <row r="105" spans="1:15" ht="62.25">
      <c r="A105" s="15" t="s">
        <v>625</v>
      </c>
      <c r="B105" s="12" t="s">
        <v>626</v>
      </c>
      <c r="C105" s="12">
        <v>26</v>
      </c>
      <c r="D105" s="5" t="s">
        <v>627</v>
      </c>
      <c r="E105" s="6" t="s">
        <v>20</v>
      </c>
      <c r="F105" s="7" t="s">
        <v>160</v>
      </c>
      <c r="G105" s="8" t="s">
        <v>628</v>
      </c>
      <c r="H105" s="9">
        <v>364079</v>
      </c>
      <c r="I105" s="4" t="s">
        <v>41</v>
      </c>
      <c r="J105" s="5">
        <v>5551810543</v>
      </c>
      <c r="K105" s="14" t="s">
        <v>629</v>
      </c>
      <c r="L105" s="24"/>
      <c r="M105" s="19" t="s">
        <v>630</v>
      </c>
      <c r="N105" s="33">
        <v>2023</v>
      </c>
      <c r="O105" s="33"/>
    </row>
    <row r="106" spans="1:15" ht="62.25">
      <c r="A106" s="15" t="s">
        <v>631</v>
      </c>
      <c r="B106" s="12" t="s">
        <v>632</v>
      </c>
      <c r="C106" s="12">
        <v>26</v>
      </c>
      <c r="D106" s="5" t="s">
        <v>633</v>
      </c>
      <c r="E106" s="6" t="s">
        <v>634</v>
      </c>
      <c r="F106" s="7" t="s">
        <v>635</v>
      </c>
      <c r="G106" s="8" t="s">
        <v>22</v>
      </c>
      <c r="H106" s="9">
        <v>364079</v>
      </c>
      <c r="I106" s="4" t="s">
        <v>23</v>
      </c>
      <c r="J106" s="5">
        <v>7225762820</v>
      </c>
      <c r="K106" s="14" t="s">
        <v>636</v>
      </c>
      <c r="L106" s="24"/>
      <c r="M106" s="19" t="s">
        <v>637</v>
      </c>
      <c r="N106" s="33">
        <v>2023</v>
      </c>
      <c r="O106" s="33"/>
    </row>
    <row r="107" spans="1:15" ht="78">
      <c r="A107" s="15" t="s">
        <v>638</v>
      </c>
      <c r="B107" s="12" t="s">
        <v>639</v>
      </c>
      <c r="C107" s="12">
        <v>28</v>
      </c>
      <c r="D107" s="5" t="s">
        <v>640</v>
      </c>
      <c r="E107" s="6" t="s">
        <v>68</v>
      </c>
      <c r="F107" s="7" t="s">
        <v>125</v>
      </c>
      <c r="G107" s="8" t="s">
        <v>641</v>
      </c>
      <c r="H107" s="9">
        <v>364077</v>
      </c>
      <c r="I107" s="4" t="s">
        <v>41</v>
      </c>
      <c r="J107" s="5">
        <v>5561371820</v>
      </c>
      <c r="K107" s="14" t="s">
        <v>642</v>
      </c>
      <c r="L107" s="24"/>
      <c r="M107" s="19" t="s">
        <v>643</v>
      </c>
      <c r="N107" s="33">
        <v>2023</v>
      </c>
      <c r="O107" s="33"/>
    </row>
    <row r="108" spans="1:15" ht="46.5">
      <c r="A108" s="15" t="s">
        <v>644</v>
      </c>
      <c r="B108" s="12" t="s">
        <v>645</v>
      </c>
      <c r="C108" s="12">
        <v>23</v>
      </c>
      <c r="D108" s="5" t="s">
        <v>646</v>
      </c>
      <c r="E108" s="6" t="s">
        <v>446</v>
      </c>
      <c r="F108" s="7" t="s">
        <v>21</v>
      </c>
      <c r="G108" s="8" t="s">
        <v>647</v>
      </c>
      <c r="H108" s="9">
        <v>364014</v>
      </c>
      <c r="I108" s="4" t="s">
        <v>41</v>
      </c>
      <c r="J108" s="5">
        <v>7226093927</v>
      </c>
      <c r="K108" s="14" t="s">
        <v>648</v>
      </c>
      <c r="L108" s="24"/>
      <c r="M108" s="19" t="s">
        <v>649</v>
      </c>
      <c r="N108" s="33">
        <v>2023</v>
      </c>
      <c r="O108" s="33"/>
    </row>
    <row r="109" spans="1:15" ht="62.25">
      <c r="A109" s="15" t="s">
        <v>650</v>
      </c>
      <c r="B109" s="12" t="s">
        <v>651</v>
      </c>
      <c r="C109" s="12">
        <v>21</v>
      </c>
      <c r="D109" s="5" t="s">
        <v>652</v>
      </c>
      <c r="E109" s="6" t="s">
        <v>272</v>
      </c>
      <c r="F109" s="7" t="s">
        <v>653</v>
      </c>
      <c r="G109" s="8" t="s">
        <v>383</v>
      </c>
      <c r="H109" s="9">
        <v>364079</v>
      </c>
      <c r="I109" s="4" t="s">
        <v>23</v>
      </c>
      <c r="J109" s="5">
        <v>5575680598</v>
      </c>
      <c r="K109" s="14" t="s">
        <v>654</v>
      </c>
      <c r="L109" s="24"/>
      <c r="M109" s="19" t="s">
        <v>655</v>
      </c>
      <c r="N109" s="33">
        <v>2023</v>
      </c>
      <c r="O109" s="33"/>
    </row>
    <row r="110" spans="1:15" ht="78">
      <c r="A110" s="15" t="s">
        <v>656</v>
      </c>
      <c r="B110" s="12" t="s">
        <v>657</v>
      </c>
      <c r="C110" s="12">
        <v>26</v>
      </c>
      <c r="D110" s="5" t="s">
        <v>658</v>
      </c>
      <c r="E110" s="6" t="s">
        <v>62</v>
      </c>
      <c r="F110" s="7" t="s">
        <v>55</v>
      </c>
      <c r="G110" s="8" t="s">
        <v>659</v>
      </c>
      <c r="H110" s="9">
        <v>362274</v>
      </c>
      <c r="I110" s="4" t="s">
        <v>41</v>
      </c>
      <c r="J110" s="5">
        <v>7224045884</v>
      </c>
      <c r="K110" s="14" t="s">
        <v>660</v>
      </c>
      <c r="L110" s="24"/>
      <c r="M110" s="19" t="s">
        <v>661</v>
      </c>
      <c r="N110" s="33">
        <v>2023</v>
      </c>
      <c r="O110" s="33"/>
    </row>
    <row r="111" spans="1:15" ht="93.75">
      <c r="A111" s="15" t="s">
        <v>662</v>
      </c>
      <c r="B111" s="12" t="s">
        <v>663</v>
      </c>
      <c r="C111" s="12">
        <v>28</v>
      </c>
      <c r="D111" s="5" t="s">
        <v>664</v>
      </c>
      <c r="E111" s="6" t="s">
        <v>47</v>
      </c>
      <c r="F111" s="7" t="s">
        <v>39</v>
      </c>
      <c r="G111" s="8" t="s">
        <v>40</v>
      </c>
      <c r="H111" s="9">
        <v>363169</v>
      </c>
      <c r="I111" s="4" t="s">
        <v>23</v>
      </c>
      <c r="J111" s="5">
        <v>5539789922</v>
      </c>
      <c r="K111" s="14" t="s">
        <v>665</v>
      </c>
      <c r="L111" s="24"/>
      <c r="M111" s="19" t="s">
        <v>666</v>
      </c>
      <c r="N111" s="33">
        <v>2023</v>
      </c>
      <c r="O111" s="33"/>
    </row>
    <row r="112" spans="1:15" ht="109.5">
      <c r="A112" s="15" t="s">
        <v>667</v>
      </c>
      <c r="B112" s="12" t="s">
        <v>668</v>
      </c>
      <c r="C112" s="12">
        <v>26</v>
      </c>
      <c r="D112" s="5" t="s">
        <v>669</v>
      </c>
      <c r="E112" s="6" t="s">
        <v>54</v>
      </c>
      <c r="F112" s="7" t="s">
        <v>21</v>
      </c>
      <c r="G112" s="8" t="s">
        <v>22</v>
      </c>
      <c r="H112" s="9">
        <v>340673</v>
      </c>
      <c r="I112" s="4" t="s">
        <v>23</v>
      </c>
      <c r="J112" s="5">
        <v>7224143726</v>
      </c>
      <c r="K112" s="13" t="s">
        <v>670</v>
      </c>
      <c r="L112" s="24"/>
      <c r="M112" s="19" t="s">
        <v>671</v>
      </c>
      <c r="N112" s="33">
        <v>2023</v>
      </c>
      <c r="O112" s="33"/>
    </row>
    <row r="113" spans="1:15" ht="78">
      <c r="A113" s="15" t="s">
        <v>672</v>
      </c>
      <c r="B113" s="12" t="s">
        <v>673</v>
      </c>
      <c r="C113" s="12">
        <v>21</v>
      </c>
      <c r="D113" s="5" t="s">
        <v>674</v>
      </c>
      <c r="E113" s="6" t="s">
        <v>68</v>
      </c>
      <c r="F113" s="7" t="s">
        <v>197</v>
      </c>
      <c r="G113" s="8" t="s">
        <v>675</v>
      </c>
      <c r="H113" s="9">
        <v>364079</v>
      </c>
      <c r="I113" s="4" t="s">
        <v>41</v>
      </c>
      <c r="J113" s="5">
        <v>5621802619</v>
      </c>
      <c r="K113" s="13" t="s">
        <v>676</v>
      </c>
      <c r="L113" s="24"/>
      <c r="M113" s="19" t="s">
        <v>677</v>
      </c>
      <c r="N113" s="33">
        <v>2023</v>
      </c>
      <c r="O113" s="33"/>
    </row>
    <row r="114" spans="1:15" ht="33.75" customHeight="1">
      <c r="A114" s="230" t="s">
        <v>678</v>
      </c>
      <c r="B114" s="231"/>
      <c r="C114" s="231"/>
      <c r="D114" s="231"/>
      <c r="E114" s="231"/>
      <c r="F114" s="231"/>
      <c r="G114" s="231"/>
      <c r="H114" s="231"/>
      <c r="I114" s="231"/>
      <c r="J114" s="231"/>
      <c r="K114" s="231"/>
      <c r="L114" s="231"/>
      <c r="M114" s="231"/>
      <c r="N114" s="232"/>
      <c r="O114" s="233"/>
    </row>
    <row r="115" spans="1:15" ht="78">
      <c r="A115" s="23" t="s">
        <v>679</v>
      </c>
      <c r="B115" s="12" t="s">
        <v>680</v>
      </c>
      <c r="C115" s="12">
        <v>22</v>
      </c>
      <c r="D115" s="5" t="s">
        <v>681</v>
      </c>
      <c r="E115" s="6" t="s">
        <v>54</v>
      </c>
      <c r="F115" s="7" t="s">
        <v>304</v>
      </c>
      <c r="G115" s="8" t="s">
        <v>682</v>
      </c>
      <c r="H115" s="9">
        <v>200000</v>
      </c>
      <c r="I115" s="5" t="s">
        <v>41</v>
      </c>
      <c r="J115" s="5">
        <v>7226114470</v>
      </c>
      <c r="K115" s="13" t="s">
        <v>683</v>
      </c>
      <c r="L115" s="4" t="s">
        <v>684</v>
      </c>
      <c r="M115" s="19" t="s">
        <v>685</v>
      </c>
      <c r="N115" s="33">
        <v>2024</v>
      </c>
      <c r="O115" s="33"/>
    </row>
    <row r="116" spans="1:15" ht="78">
      <c r="A116" s="23" t="s">
        <v>686</v>
      </c>
      <c r="B116" s="12" t="s">
        <v>687</v>
      </c>
      <c r="C116" s="12">
        <v>24</v>
      </c>
      <c r="D116" s="5" t="s">
        <v>688</v>
      </c>
      <c r="E116" s="6" t="s">
        <v>689</v>
      </c>
      <c r="F116" s="7" t="s">
        <v>382</v>
      </c>
      <c r="G116" s="8" t="s">
        <v>383</v>
      </c>
      <c r="H116" s="9">
        <v>200000</v>
      </c>
      <c r="I116" s="5" t="s">
        <v>41</v>
      </c>
      <c r="J116" s="5">
        <v>5534643815</v>
      </c>
      <c r="K116" s="13" t="s">
        <v>690</v>
      </c>
      <c r="L116" s="4" t="s">
        <v>684</v>
      </c>
      <c r="M116" s="19" t="s">
        <v>691</v>
      </c>
      <c r="N116" s="33">
        <v>2024</v>
      </c>
      <c r="O116" s="33"/>
    </row>
    <row r="117" spans="1:15" ht="78">
      <c r="A117" s="23" t="s">
        <v>692</v>
      </c>
      <c r="B117" s="12" t="s">
        <v>693</v>
      </c>
      <c r="C117" s="12">
        <v>27</v>
      </c>
      <c r="D117" s="5" t="s">
        <v>694</v>
      </c>
      <c r="E117" s="6" t="s">
        <v>695</v>
      </c>
      <c r="F117" s="7" t="s">
        <v>266</v>
      </c>
      <c r="G117" s="8" t="s">
        <v>696</v>
      </c>
      <c r="H117" s="9">
        <v>188954.81</v>
      </c>
      <c r="I117" s="5" t="s">
        <v>41</v>
      </c>
      <c r="J117" s="5">
        <v>7225844121</v>
      </c>
      <c r="K117" s="13" t="s">
        <v>697</v>
      </c>
      <c r="L117" s="4" t="s">
        <v>684</v>
      </c>
      <c r="M117" s="19" t="s">
        <v>698</v>
      </c>
      <c r="N117" s="33">
        <v>2024</v>
      </c>
      <c r="O117" s="33"/>
    </row>
    <row r="118" spans="1:15" ht="78">
      <c r="A118" s="23" t="s">
        <v>699</v>
      </c>
      <c r="B118" s="12" t="s">
        <v>700</v>
      </c>
      <c r="C118" s="12">
        <v>20</v>
      </c>
      <c r="D118" s="5" t="s">
        <v>701</v>
      </c>
      <c r="E118" s="6" t="s">
        <v>54</v>
      </c>
      <c r="F118" s="7" t="s">
        <v>21</v>
      </c>
      <c r="G118" s="8" t="s">
        <v>702</v>
      </c>
      <c r="H118" s="9">
        <v>200000</v>
      </c>
      <c r="I118" s="5" t="s">
        <v>23</v>
      </c>
      <c r="J118" s="5">
        <v>7225340339</v>
      </c>
      <c r="K118" s="13" t="s">
        <v>703</v>
      </c>
      <c r="L118" s="4" t="s">
        <v>684</v>
      </c>
      <c r="M118" s="19" t="s">
        <v>704</v>
      </c>
      <c r="N118" s="33">
        <v>2024</v>
      </c>
      <c r="O118" s="33"/>
    </row>
    <row r="119" spans="1:15" ht="78">
      <c r="A119" s="23" t="s">
        <v>705</v>
      </c>
      <c r="B119" s="12" t="s">
        <v>706</v>
      </c>
      <c r="C119" s="12">
        <v>23</v>
      </c>
      <c r="D119" s="5" t="s">
        <v>707</v>
      </c>
      <c r="E119" s="6" t="s">
        <v>62</v>
      </c>
      <c r="F119" s="7" t="s">
        <v>708</v>
      </c>
      <c r="G119" s="8" t="s">
        <v>702</v>
      </c>
      <c r="H119" s="9">
        <v>200000</v>
      </c>
      <c r="I119" s="5" t="s">
        <v>41</v>
      </c>
      <c r="J119" s="5">
        <v>7226649530</v>
      </c>
      <c r="K119" s="13" t="s">
        <v>709</v>
      </c>
      <c r="L119" s="4" t="s">
        <v>684</v>
      </c>
      <c r="M119" s="19" t="s">
        <v>710</v>
      </c>
      <c r="N119" s="33">
        <v>2024</v>
      </c>
      <c r="O119" s="33"/>
    </row>
    <row r="120" spans="1:15" ht="78">
      <c r="A120" s="23" t="s">
        <v>711</v>
      </c>
      <c r="B120" s="12" t="s">
        <v>712</v>
      </c>
      <c r="C120" s="12">
        <v>22</v>
      </c>
      <c r="D120" s="5" t="s">
        <v>713</v>
      </c>
      <c r="E120" s="6" t="s">
        <v>62</v>
      </c>
      <c r="F120" s="7" t="s">
        <v>21</v>
      </c>
      <c r="G120" s="8" t="s">
        <v>702</v>
      </c>
      <c r="H120" s="9">
        <v>200000</v>
      </c>
      <c r="I120" s="5" t="s">
        <v>23</v>
      </c>
      <c r="J120" s="5">
        <v>7225552934</v>
      </c>
      <c r="K120" s="13" t="s">
        <v>714</v>
      </c>
      <c r="L120" s="4" t="s">
        <v>684</v>
      </c>
      <c r="M120" s="19" t="s">
        <v>715</v>
      </c>
      <c r="N120" s="33">
        <v>2024</v>
      </c>
      <c r="O120" s="33"/>
    </row>
    <row r="121" spans="1:15" ht="78">
      <c r="A121" s="23" t="s">
        <v>716</v>
      </c>
      <c r="B121" s="12" t="s">
        <v>717</v>
      </c>
      <c r="C121" s="12">
        <v>24</v>
      </c>
      <c r="D121" s="5" t="s">
        <v>718</v>
      </c>
      <c r="E121" s="6" t="s">
        <v>719</v>
      </c>
      <c r="F121" s="7" t="s">
        <v>720</v>
      </c>
      <c r="G121" s="8" t="s">
        <v>721</v>
      </c>
      <c r="H121" s="9">
        <v>200000</v>
      </c>
      <c r="I121" s="5" t="s">
        <v>23</v>
      </c>
      <c r="J121" s="5">
        <v>5527927044</v>
      </c>
      <c r="K121" s="13" t="s">
        <v>722</v>
      </c>
      <c r="L121" s="4" t="s">
        <v>684</v>
      </c>
      <c r="M121" s="19" t="s">
        <v>723</v>
      </c>
      <c r="N121" s="33">
        <v>2024</v>
      </c>
      <c r="O121" s="33"/>
    </row>
    <row r="122" spans="1:15" ht="126">
      <c r="A122" s="23" t="s">
        <v>724</v>
      </c>
      <c r="B122" s="12" t="s">
        <v>725</v>
      </c>
      <c r="C122" s="12">
        <v>26</v>
      </c>
      <c r="D122" s="5" t="s">
        <v>726</v>
      </c>
      <c r="E122" s="6" t="s">
        <v>47</v>
      </c>
      <c r="F122" s="7" t="s">
        <v>39</v>
      </c>
      <c r="G122" s="8" t="s">
        <v>727</v>
      </c>
      <c r="H122" s="9">
        <v>200000</v>
      </c>
      <c r="I122" s="5" t="s">
        <v>41</v>
      </c>
      <c r="J122" s="5">
        <v>5551076156</v>
      </c>
      <c r="K122" s="13" t="s">
        <v>728</v>
      </c>
      <c r="L122" s="4" t="s">
        <v>684</v>
      </c>
      <c r="M122" s="19" t="s">
        <v>729</v>
      </c>
      <c r="N122" s="33">
        <v>2024</v>
      </c>
      <c r="O122" s="33"/>
    </row>
    <row r="123" spans="1:15" ht="78">
      <c r="A123" s="23" t="s">
        <v>730</v>
      </c>
      <c r="B123" s="12" t="s">
        <v>731</v>
      </c>
      <c r="C123" s="12">
        <v>26</v>
      </c>
      <c r="D123" s="5" t="s">
        <v>732</v>
      </c>
      <c r="E123" s="6" t="s">
        <v>733</v>
      </c>
      <c r="F123" s="7" t="s">
        <v>653</v>
      </c>
      <c r="G123" s="8" t="s">
        <v>734</v>
      </c>
      <c r="H123" s="9">
        <v>166150</v>
      </c>
      <c r="I123" s="5" t="s">
        <v>23</v>
      </c>
      <c r="J123" s="5">
        <v>5578784080</v>
      </c>
      <c r="K123" s="13" t="s">
        <v>735</v>
      </c>
      <c r="L123" s="4" t="s">
        <v>684</v>
      </c>
      <c r="M123" s="19" t="s">
        <v>736</v>
      </c>
      <c r="N123" s="33">
        <v>2024</v>
      </c>
      <c r="O123" s="33"/>
    </row>
    <row r="124" spans="1:15" ht="46.5">
      <c r="A124" s="23" t="s">
        <v>737</v>
      </c>
      <c r="B124" s="12" t="s">
        <v>738</v>
      </c>
      <c r="C124" s="12">
        <v>29</v>
      </c>
      <c r="D124" s="5" t="s">
        <v>739</v>
      </c>
      <c r="E124" s="6" t="s">
        <v>740</v>
      </c>
      <c r="F124" s="7" t="s">
        <v>69</v>
      </c>
      <c r="G124" s="8" t="s">
        <v>741</v>
      </c>
      <c r="H124" s="9">
        <v>200000</v>
      </c>
      <c r="I124" s="5" t="s">
        <v>41</v>
      </c>
      <c r="J124" s="5">
        <v>7221026091</v>
      </c>
      <c r="K124" s="13" t="s">
        <v>742</v>
      </c>
      <c r="L124" s="4" t="s">
        <v>684</v>
      </c>
      <c r="M124" s="19" t="s">
        <v>743</v>
      </c>
      <c r="N124" s="33">
        <v>2024</v>
      </c>
      <c r="O124" s="33"/>
    </row>
    <row r="125" spans="1:15" ht="78">
      <c r="A125" s="23" t="s">
        <v>744</v>
      </c>
      <c r="B125" s="12" t="s">
        <v>213</v>
      </c>
      <c r="C125" s="12">
        <v>25</v>
      </c>
      <c r="D125" s="5" t="s">
        <v>745</v>
      </c>
      <c r="E125" s="6" t="s">
        <v>62</v>
      </c>
      <c r="F125" s="7" t="s">
        <v>215</v>
      </c>
      <c r="G125" s="8" t="s">
        <v>702</v>
      </c>
      <c r="H125" s="9">
        <v>199960</v>
      </c>
      <c r="I125" s="5" t="s">
        <v>41</v>
      </c>
      <c r="J125" s="5">
        <v>7224962673</v>
      </c>
      <c r="K125" s="13" t="s">
        <v>746</v>
      </c>
      <c r="L125" s="4" t="s">
        <v>684</v>
      </c>
      <c r="M125" s="19" t="s">
        <v>747</v>
      </c>
      <c r="N125" s="33">
        <v>2024</v>
      </c>
      <c r="O125" s="33"/>
    </row>
    <row r="126" spans="1:15" ht="46.5">
      <c r="A126" s="23" t="s">
        <v>748</v>
      </c>
      <c r="B126" s="20" t="s">
        <v>749</v>
      </c>
      <c r="C126" s="12">
        <v>19</v>
      </c>
      <c r="D126" s="5" t="s">
        <v>750</v>
      </c>
      <c r="E126" s="6" t="s">
        <v>62</v>
      </c>
      <c r="F126" s="7" t="s">
        <v>168</v>
      </c>
      <c r="G126" s="8" t="s">
        <v>148</v>
      </c>
      <c r="H126" s="9">
        <v>200000</v>
      </c>
      <c r="I126" s="5" t="s">
        <v>23</v>
      </c>
      <c r="J126" s="5">
        <v>5631145195</v>
      </c>
      <c r="K126" s="14" t="s">
        <v>751</v>
      </c>
      <c r="L126" s="4" t="s">
        <v>684</v>
      </c>
      <c r="M126" s="19" t="s">
        <v>752</v>
      </c>
      <c r="N126" s="33">
        <v>2024</v>
      </c>
      <c r="O126" s="33"/>
    </row>
    <row r="127" spans="1:15" ht="62.25">
      <c r="A127" s="23" t="s">
        <v>753</v>
      </c>
      <c r="B127" s="12" t="s">
        <v>754</v>
      </c>
      <c r="C127" s="12">
        <v>22</v>
      </c>
      <c r="D127" s="5" t="s">
        <v>755</v>
      </c>
      <c r="E127" s="6" t="s">
        <v>68</v>
      </c>
      <c r="F127" s="7" t="s">
        <v>55</v>
      </c>
      <c r="G127" s="8" t="s">
        <v>756</v>
      </c>
      <c r="H127" s="9">
        <v>200000</v>
      </c>
      <c r="I127" s="5" t="s">
        <v>41</v>
      </c>
      <c r="J127" s="5" t="s">
        <v>757</v>
      </c>
      <c r="K127" s="14" t="s">
        <v>758</v>
      </c>
      <c r="L127" s="4" t="s">
        <v>684</v>
      </c>
      <c r="M127" s="19" t="s">
        <v>759</v>
      </c>
      <c r="N127" s="33">
        <v>2024</v>
      </c>
      <c r="O127" s="33"/>
    </row>
    <row r="128" spans="1:15" ht="93.75">
      <c r="A128" s="23" t="s">
        <v>760</v>
      </c>
      <c r="B128" s="12" t="s">
        <v>344</v>
      </c>
      <c r="C128" s="12">
        <v>29</v>
      </c>
      <c r="D128" s="5" t="s">
        <v>761</v>
      </c>
      <c r="E128" s="6" t="s">
        <v>762</v>
      </c>
      <c r="F128" s="7" t="s">
        <v>763</v>
      </c>
      <c r="G128" s="8" t="s">
        <v>239</v>
      </c>
      <c r="H128" s="9">
        <v>200000</v>
      </c>
      <c r="I128" s="5" t="s">
        <v>41</v>
      </c>
      <c r="J128" s="5" t="s">
        <v>764</v>
      </c>
      <c r="K128" s="14" t="s">
        <v>347</v>
      </c>
      <c r="L128" s="4" t="s">
        <v>684</v>
      </c>
      <c r="M128" s="19" t="s">
        <v>765</v>
      </c>
      <c r="N128" s="33">
        <v>2024</v>
      </c>
      <c r="O128" s="33"/>
    </row>
    <row r="129" spans="1:15" ht="109.5">
      <c r="A129" s="23" t="s">
        <v>766</v>
      </c>
      <c r="B129" s="12" t="s">
        <v>767</v>
      </c>
      <c r="C129" s="12">
        <v>28</v>
      </c>
      <c r="D129" s="5" t="s">
        <v>768</v>
      </c>
      <c r="E129" s="6" t="s">
        <v>68</v>
      </c>
      <c r="F129" s="7" t="s">
        <v>579</v>
      </c>
      <c r="G129" s="8" t="s">
        <v>769</v>
      </c>
      <c r="H129" s="9">
        <v>200000</v>
      </c>
      <c r="I129" s="5" t="s">
        <v>41</v>
      </c>
      <c r="J129" s="5">
        <v>5567861655</v>
      </c>
      <c r="K129" s="14" t="s">
        <v>770</v>
      </c>
      <c r="L129" s="4" t="s">
        <v>684</v>
      </c>
      <c r="M129" s="19" t="s">
        <v>771</v>
      </c>
      <c r="N129" s="33">
        <v>2024</v>
      </c>
      <c r="O129" s="33"/>
    </row>
    <row r="130" spans="1:15" ht="36" customHeight="1">
      <c r="A130" s="234" t="s">
        <v>772</v>
      </c>
      <c r="B130" s="235"/>
      <c r="C130" s="235"/>
      <c r="D130" s="235"/>
      <c r="E130" s="235"/>
      <c r="F130" s="235"/>
      <c r="G130" s="235"/>
      <c r="H130" s="235"/>
      <c r="I130" s="235"/>
      <c r="J130" s="235"/>
      <c r="K130" s="235"/>
      <c r="L130" s="235"/>
      <c r="M130" s="235"/>
      <c r="N130" s="235"/>
      <c r="O130" s="235"/>
    </row>
    <row r="131" spans="1:15" ht="62.25">
      <c r="A131" s="26" t="s">
        <v>773</v>
      </c>
      <c r="B131" s="4" t="s">
        <v>774</v>
      </c>
      <c r="C131" s="4">
        <v>23</v>
      </c>
      <c r="D131" s="4" t="s">
        <v>775</v>
      </c>
      <c r="E131" s="11" t="s">
        <v>776</v>
      </c>
      <c r="F131" s="7" t="s">
        <v>777</v>
      </c>
      <c r="G131" s="8" t="s">
        <v>778</v>
      </c>
      <c r="H131" s="9">
        <v>132412</v>
      </c>
      <c r="I131" s="7" t="s">
        <v>23</v>
      </c>
      <c r="J131" s="4">
        <v>5951092192</v>
      </c>
      <c r="K131" s="25" t="s">
        <v>779</v>
      </c>
      <c r="L131" s="4" t="s">
        <v>780</v>
      </c>
      <c r="M131" s="27" t="s">
        <v>781</v>
      </c>
      <c r="N131" s="33">
        <v>2024</v>
      </c>
      <c r="O131" s="33"/>
    </row>
    <row r="132" spans="1:15" ht="92.25" customHeight="1">
      <c r="A132" s="26" t="s">
        <v>782</v>
      </c>
      <c r="B132" s="4" t="s">
        <v>783</v>
      </c>
      <c r="C132" s="4">
        <v>29</v>
      </c>
      <c r="D132" s="4" t="s">
        <v>784</v>
      </c>
      <c r="E132" s="6" t="s">
        <v>54</v>
      </c>
      <c r="F132" s="7" t="s">
        <v>785</v>
      </c>
      <c r="G132" s="8" t="s">
        <v>786</v>
      </c>
      <c r="H132" s="9">
        <v>193749</v>
      </c>
      <c r="I132" s="7" t="s">
        <v>787</v>
      </c>
      <c r="J132" s="4">
        <v>7122101058</v>
      </c>
      <c r="K132" s="25" t="s">
        <v>788</v>
      </c>
      <c r="L132" s="4" t="s">
        <v>780</v>
      </c>
      <c r="M132" s="19" t="s">
        <v>789</v>
      </c>
      <c r="N132" s="33">
        <v>2024</v>
      </c>
      <c r="O132" s="33"/>
    </row>
    <row r="133" spans="1:15" ht="93.75">
      <c r="A133" s="26" t="s">
        <v>790</v>
      </c>
      <c r="B133" s="4" t="s">
        <v>791</v>
      </c>
      <c r="C133" s="4">
        <v>21</v>
      </c>
      <c r="D133" s="4" t="s">
        <v>792</v>
      </c>
      <c r="E133" s="6" t="s">
        <v>272</v>
      </c>
      <c r="F133" s="7" t="s">
        <v>83</v>
      </c>
      <c r="G133" s="8" t="s">
        <v>793</v>
      </c>
      <c r="H133" s="9">
        <v>200000</v>
      </c>
      <c r="I133" s="7" t="s">
        <v>23</v>
      </c>
      <c r="J133" s="5">
        <v>7122156226</v>
      </c>
      <c r="K133" s="13" t="s">
        <v>794</v>
      </c>
      <c r="L133" s="4" t="s">
        <v>780</v>
      </c>
      <c r="M133" s="19" t="s">
        <v>795</v>
      </c>
      <c r="N133" s="33">
        <v>2024</v>
      </c>
      <c r="O133" s="33"/>
    </row>
    <row r="134" spans="1:15" ht="46.5">
      <c r="A134" s="26" t="s">
        <v>796</v>
      </c>
      <c r="B134" s="20" t="s">
        <v>797</v>
      </c>
      <c r="C134" s="12">
        <v>24</v>
      </c>
      <c r="D134" s="5" t="s">
        <v>798</v>
      </c>
      <c r="E134" s="6" t="s">
        <v>799</v>
      </c>
      <c r="F134" s="7" t="s">
        <v>297</v>
      </c>
      <c r="G134" s="8" t="s">
        <v>397</v>
      </c>
      <c r="H134" s="9">
        <v>200000</v>
      </c>
      <c r="I134" s="7" t="s">
        <v>23</v>
      </c>
      <c r="J134" s="5">
        <v>7224058544</v>
      </c>
      <c r="K134" s="13" t="s">
        <v>800</v>
      </c>
      <c r="L134" s="4" t="s">
        <v>780</v>
      </c>
      <c r="M134" s="19" t="s">
        <v>801</v>
      </c>
      <c r="N134" s="33">
        <v>2024</v>
      </c>
      <c r="O134" s="33"/>
    </row>
    <row r="135" spans="1:15" ht="62.25">
      <c r="A135" s="26" t="s">
        <v>802</v>
      </c>
      <c r="B135" s="12" t="s">
        <v>803</v>
      </c>
      <c r="C135" s="12">
        <v>25</v>
      </c>
      <c r="D135" s="5" t="s">
        <v>804</v>
      </c>
      <c r="E135" s="6" t="s">
        <v>68</v>
      </c>
      <c r="F135" s="7" t="s">
        <v>432</v>
      </c>
      <c r="G135" s="8" t="s">
        <v>805</v>
      </c>
      <c r="H135" s="9">
        <v>136000</v>
      </c>
      <c r="I135" s="7" t="s">
        <v>787</v>
      </c>
      <c r="J135" s="5">
        <v>5951078778</v>
      </c>
      <c r="K135" s="13" t="s">
        <v>806</v>
      </c>
      <c r="L135" s="4" t="s">
        <v>780</v>
      </c>
      <c r="M135" s="19" t="s">
        <v>807</v>
      </c>
      <c r="N135" s="33">
        <v>2024</v>
      </c>
      <c r="O135" s="33"/>
    </row>
    <row r="136" spans="1:15" ht="62.25">
      <c r="A136" s="26" t="s">
        <v>808</v>
      </c>
      <c r="B136" s="12" t="s">
        <v>809</v>
      </c>
      <c r="C136" s="12">
        <v>24</v>
      </c>
      <c r="D136" s="5" t="s">
        <v>810</v>
      </c>
      <c r="E136" s="6" t="s">
        <v>811</v>
      </c>
      <c r="F136" s="7" t="s">
        <v>812</v>
      </c>
      <c r="G136" s="8" t="s">
        <v>813</v>
      </c>
      <c r="H136" s="9">
        <v>167780.5</v>
      </c>
      <c r="I136" s="7" t="s">
        <v>23</v>
      </c>
      <c r="J136" s="5" t="s">
        <v>814</v>
      </c>
      <c r="K136" s="13" t="s">
        <v>815</v>
      </c>
      <c r="L136" s="4" t="s">
        <v>780</v>
      </c>
      <c r="M136" s="28" t="s">
        <v>816</v>
      </c>
      <c r="N136" s="33">
        <v>2024</v>
      </c>
      <c r="O136" s="33"/>
    </row>
    <row r="137" spans="1:15" ht="46.5">
      <c r="A137" s="26" t="s">
        <v>817</v>
      </c>
      <c r="B137" s="12" t="s">
        <v>818</v>
      </c>
      <c r="C137" s="12">
        <v>22</v>
      </c>
      <c r="D137" s="5" t="s">
        <v>819</v>
      </c>
      <c r="E137" s="6" t="s">
        <v>820</v>
      </c>
      <c r="F137" s="7" t="s">
        <v>821</v>
      </c>
      <c r="G137" s="8" t="s">
        <v>822</v>
      </c>
      <c r="H137" s="9">
        <v>190000</v>
      </c>
      <c r="I137" s="7" t="s">
        <v>23</v>
      </c>
      <c r="J137" s="5">
        <v>5586756842</v>
      </c>
      <c r="K137" s="13" t="s">
        <v>823</v>
      </c>
      <c r="L137" s="4" t="s">
        <v>780</v>
      </c>
      <c r="M137" s="19" t="s">
        <v>824</v>
      </c>
      <c r="N137" s="33">
        <v>2024</v>
      </c>
      <c r="O137" s="33"/>
    </row>
    <row r="138" spans="1:15" ht="93.75">
      <c r="A138" s="26" t="s">
        <v>825</v>
      </c>
      <c r="B138" s="12" t="s">
        <v>826</v>
      </c>
      <c r="C138" s="12">
        <v>24</v>
      </c>
      <c r="D138" s="5" t="s">
        <v>827</v>
      </c>
      <c r="E138" s="6" t="s">
        <v>828</v>
      </c>
      <c r="F138" s="7" t="s">
        <v>160</v>
      </c>
      <c r="G138" s="8" t="s">
        <v>239</v>
      </c>
      <c r="H138" s="9">
        <v>200000</v>
      </c>
      <c r="I138" s="7" t="s">
        <v>787</v>
      </c>
      <c r="J138" s="5" t="s">
        <v>829</v>
      </c>
      <c r="K138" s="13" t="s">
        <v>317</v>
      </c>
      <c r="L138" s="4" t="s">
        <v>780</v>
      </c>
      <c r="M138" s="19" t="s">
        <v>830</v>
      </c>
      <c r="N138" s="33">
        <v>2024</v>
      </c>
      <c r="O138" s="33"/>
    </row>
    <row r="139" spans="1:15" ht="62.25">
      <c r="A139" s="26" t="s">
        <v>831</v>
      </c>
      <c r="B139" s="12" t="s">
        <v>832</v>
      </c>
      <c r="C139" s="12">
        <v>27</v>
      </c>
      <c r="D139" s="5" t="s">
        <v>833</v>
      </c>
      <c r="E139" s="6" t="s">
        <v>68</v>
      </c>
      <c r="F139" s="7" t="s">
        <v>278</v>
      </c>
      <c r="G139" s="8" t="s">
        <v>834</v>
      </c>
      <c r="H139" s="9">
        <v>200000</v>
      </c>
      <c r="I139" s="7" t="s">
        <v>787</v>
      </c>
      <c r="J139" s="5" t="s">
        <v>835</v>
      </c>
      <c r="K139" s="13" t="s">
        <v>836</v>
      </c>
      <c r="L139" s="4" t="s">
        <v>780</v>
      </c>
      <c r="M139" s="19" t="s">
        <v>837</v>
      </c>
      <c r="N139" s="33">
        <v>2024</v>
      </c>
      <c r="O139" s="33"/>
    </row>
    <row r="140" spans="1:15" ht="46.5">
      <c r="A140" s="26" t="s">
        <v>838</v>
      </c>
      <c r="B140" s="12" t="s">
        <v>839</v>
      </c>
      <c r="C140" s="12">
        <v>24</v>
      </c>
      <c r="D140" s="5" t="s">
        <v>840</v>
      </c>
      <c r="E140" s="6" t="s">
        <v>68</v>
      </c>
      <c r="F140" s="7" t="s">
        <v>304</v>
      </c>
      <c r="G140" s="8" t="s">
        <v>841</v>
      </c>
      <c r="H140" s="9">
        <v>199900</v>
      </c>
      <c r="I140" s="7" t="s">
        <v>787</v>
      </c>
      <c r="J140" s="5">
        <v>7226569483</v>
      </c>
      <c r="K140" s="13" t="s">
        <v>842</v>
      </c>
      <c r="L140" s="4" t="s">
        <v>780</v>
      </c>
      <c r="M140" s="19" t="s">
        <v>843</v>
      </c>
      <c r="N140" s="33">
        <v>2024</v>
      </c>
      <c r="O140" s="33"/>
    </row>
    <row r="141" spans="1:15" ht="62.25">
      <c r="A141" s="26" t="s">
        <v>844</v>
      </c>
      <c r="B141" s="12" t="s">
        <v>845</v>
      </c>
      <c r="C141" s="12">
        <v>26</v>
      </c>
      <c r="D141" s="5" t="s">
        <v>846</v>
      </c>
      <c r="E141" s="6" t="s">
        <v>20</v>
      </c>
      <c r="F141" s="7" t="s">
        <v>21</v>
      </c>
      <c r="G141" s="8" t="s">
        <v>847</v>
      </c>
      <c r="H141" s="9">
        <v>200000</v>
      </c>
      <c r="I141" s="7" t="s">
        <v>23</v>
      </c>
      <c r="J141" s="5"/>
      <c r="K141" s="13" t="s">
        <v>848</v>
      </c>
      <c r="L141" s="4" t="s">
        <v>780</v>
      </c>
      <c r="M141" s="19" t="s">
        <v>849</v>
      </c>
      <c r="N141" s="33">
        <v>2024</v>
      </c>
      <c r="O141" s="33"/>
    </row>
    <row r="142" spans="1:15" ht="78">
      <c r="A142" s="26" t="s">
        <v>850</v>
      </c>
      <c r="B142" s="20" t="s">
        <v>851</v>
      </c>
      <c r="C142" s="12">
        <v>22</v>
      </c>
      <c r="D142" s="5" t="s">
        <v>852</v>
      </c>
      <c r="E142" s="6" t="s">
        <v>440</v>
      </c>
      <c r="F142" s="7" t="s">
        <v>55</v>
      </c>
      <c r="G142" s="8" t="s">
        <v>853</v>
      </c>
      <c r="H142" s="9">
        <v>199726.99</v>
      </c>
      <c r="I142" s="7" t="s">
        <v>787</v>
      </c>
      <c r="J142" s="5">
        <v>7225329831</v>
      </c>
      <c r="K142" s="13" t="s">
        <v>854</v>
      </c>
      <c r="L142" s="4" t="s">
        <v>780</v>
      </c>
      <c r="M142" s="19" t="s">
        <v>855</v>
      </c>
      <c r="N142" s="33">
        <v>2024</v>
      </c>
      <c r="O142" s="33"/>
    </row>
    <row r="143" spans="1:15" ht="109.5">
      <c r="A143" s="26" t="s">
        <v>856</v>
      </c>
      <c r="B143" s="12" t="s">
        <v>857</v>
      </c>
      <c r="C143" s="12">
        <v>26</v>
      </c>
      <c r="D143" s="5" t="s">
        <v>858</v>
      </c>
      <c r="E143" s="6" t="s">
        <v>859</v>
      </c>
      <c r="F143" s="7" t="s">
        <v>39</v>
      </c>
      <c r="G143" s="8" t="s">
        <v>40</v>
      </c>
      <c r="H143" s="9">
        <v>200000</v>
      </c>
      <c r="I143" s="7" t="s">
        <v>23</v>
      </c>
      <c r="J143" s="5">
        <v>5645117291</v>
      </c>
      <c r="K143" s="13" t="s">
        <v>860</v>
      </c>
      <c r="L143" s="4" t="s">
        <v>780</v>
      </c>
      <c r="M143" s="19" t="s">
        <v>861</v>
      </c>
      <c r="N143" s="33">
        <v>2024</v>
      </c>
      <c r="O143" s="33"/>
    </row>
    <row r="144" spans="1:15" ht="93.75">
      <c r="A144" s="26" t="s">
        <v>862</v>
      </c>
      <c r="B144" s="12" t="s">
        <v>863</v>
      </c>
      <c r="C144" s="12">
        <v>22</v>
      </c>
      <c r="D144" s="5" t="s">
        <v>864</v>
      </c>
      <c r="E144" s="6" t="s">
        <v>440</v>
      </c>
      <c r="F144" s="7" t="s">
        <v>21</v>
      </c>
      <c r="G144" s="8" t="s">
        <v>853</v>
      </c>
      <c r="H144" s="9">
        <v>196146</v>
      </c>
      <c r="I144" s="7" t="s">
        <v>787</v>
      </c>
      <c r="J144" s="5" t="s">
        <v>865</v>
      </c>
      <c r="K144" s="13" t="s">
        <v>866</v>
      </c>
      <c r="L144" s="4" t="s">
        <v>780</v>
      </c>
      <c r="M144" s="19" t="s">
        <v>867</v>
      </c>
      <c r="N144" s="33">
        <v>2024</v>
      </c>
      <c r="O144" s="33"/>
    </row>
    <row r="145" spans="1:15" ht="126">
      <c r="A145" s="26" t="s">
        <v>868</v>
      </c>
      <c r="B145" s="20" t="s">
        <v>869</v>
      </c>
      <c r="C145" s="12">
        <v>26</v>
      </c>
      <c r="D145" s="5" t="s">
        <v>870</v>
      </c>
      <c r="E145" s="6" t="s">
        <v>440</v>
      </c>
      <c r="F145" s="7" t="s">
        <v>617</v>
      </c>
      <c r="G145" s="8" t="s">
        <v>853</v>
      </c>
      <c r="H145" s="9">
        <v>199829.55</v>
      </c>
      <c r="I145" s="7" t="s">
        <v>787</v>
      </c>
      <c r="J145" s="5">
        <v>7297741912</v>
      </c>
      <c r="K145" s="13" t="s">
        <v>871</v>
      </c>
      <c r="L145" s="4" t="s">
        <v>780</v>
      </c>
      <c r="M145" s="19" t="s">
        <v>872</v>
      </c>
      <c r="N145" s="33">
        <v>2024</v>
      </c>
      <c r="O145" s="33"/>
    </row>
    <row r="146" spans="1:15" ht="46.5">
      <c r="A146" s="26" t="s">
        <v>873</v>
      </c>
      <c r="B146" s="12" t="s">
        <v>874</v>
      </c>
      <c r="C146" s="12">
        <v>24</v>
      </c>
      <c r="D146" s="5" t="s">
        <v>875</v>
      </c>
      <c r="E146" s="6" t="s">
        <v>20</v>
      </c>
      <c r="F146" s="7" t="s">
        <v>117</v>
      </c>
      <c r="G146" s="8" t="s">
        <v>876</v>
      </c>
      <c r="H146" s="9">
        <v>200000</v>
      </c>
      <c r="I146" s="7" t="s">
        <v>787</v>
      </c>
      <c r="J146" s="5">
        <v>7223807927</v>
      </c>
      <c r="K146" s="13" t="s">
        <v>877</v>
      </c>
      <c r="L146" s="4" t="s">
        <v>780</v>
      </c>
      <c r="M146" s="19" t="s">
        <v>878</v>
      </c>
      <c r="N146" s="33">
        <v>2024</v>
      </c>
      <c r="O146" s="33"/>
    </row>
    <row r="147" spans="1:15" ht="62.25">
      <c r="A147" s="26" t="s">
        <v>879</v>
      </c>
      <c r="B147" s="12" t="s">
        <v>880</v>
      </c>
      <c r="C147" s="12">
        <v>21</v>
      </c>
      <c r="D147" s="5" t="s">
        <v>881</v>
      </c>
      <c r="E147" s="6" t="s">
        <v>272</v>
      </c>
      <c r="F147" s="7" t="s">
        <v>147</v>
      </c>
      <c r="G147" s="8" t="s">
        <v>546</v>
      </c>
      <c r="H147" s="9">
        <v>200000</v>
      </c>
      <c r="I147" s="7" t="s">
        <v>23</v>
      </c>
      <c r="J147" s="5">
        <v>5564836875</v>
      </c>
      <c r="K147" s="13" t="s">
        <v>882</v>
      </c>
      <c r="L147" s="4" t="s">
        <v>780</v>
      </c>
      <c r="M147" s="19" t="s">
        <v>883</v>
      </c>
      <c r="N147" s="33">
        <v>2024</v>
      </c>
      <c r="O147" s="33"/>
    </row>
    <row r="148" spans="1:15" ht="109.5">
      <c r="A148" s="26" t="s">
        <v>884</v>
      </c>
      <c r="B148" s="5" t="s">
        <v>885</v>
      </c>
      <c r="C148" s="12">
        <v>24</v>
      </c>
      <c r="D148" s="5" t="s">
        <v>886</v>
      </c>
      <c r="E148" s="6" t="s">
        <v>272</v>
      </c>
      <c r="F148" s="7" t="s">
        <v>887</v>
      </c>
      <c r="G148" s="8" t="s">
        <v>148</v>
      </c>
      <c r="H148" s="9">
        <v>188350.34</v>
      </c>
      <c r="I148" s="7" t="s">
        <v>23</v>
      </c>
      <c r="J148" s="5">
        <v>5613392969</v>
      </c>
      <c r="K148" s="13" t="s">
        <v>447</v>
      </c>
      <c r="L148" s="4" t="s">
        <v>780</v>
      </c>
      <c r="M148" s="19" t="s">
        <v>888</v>
      </c>
      <c r="N148" s="33">
        <v>2024</v>
      </c>
      <c r="O148" s="33"/>
    </row>
    <row r="149" spans="1:15" ht="109.5">
      <c r="A149" s="26" t="s">
        <v>889</v>
      </c>
      <c r="B149" s="12" t="s">
        <v>379</v>
      </c>
      <c r="C149" s="12">
        <v>26</v>
      </c>
      <c r="D149" s="5" t="s">
        <v>890</v>
      </c>
      <c r="E149" s="6" t="s">
        <v>891</v>
      </c>
      <c r="F149" s="7" t="s">
        <v>382</v>
      </c>
      <c r="G149" s="8" t="s">
        <v>383</v>
      </c>
      <c r="H149" s="9">
        <v>200000</v>
      </c>
      <c r="I149" s="7" t="s">
        <v>23</v>
      </c>
      <c r="J149" s="5">
        <v>5585447968</v>
      </c>
      <c r="K149" s="13" t="s">
        <v>892</v>
      </c>
      <c r="L149" s="4" t="s">
        <v>780</v>
      </c>
      <c r="M149" s="19" t="s">
        <v>893</v>
      </c>
      <c r="N149" s="33">
        <v>2024</v>
      </c>
      <c r="O149" s="33"/>
    </row>
    <row r="150" spans="1:15" ht="93.75">
      <c r="A150" s="26" t="s">
        <v>894</v>
      </c>
      <c r="B150" s="20" t="s">
        <v>895</v>
      </c>
      <c r="C150" s="12">
        <v>27</v>
      </c>
      <c r="D150" s="5" t="s">
        <v>896</v>
      </c>
      <c r="E150" s="6" t="s">
        <v>272</v>
      </c>
      <c r="F150" s="7" t="s">
        <v>117</v>
      </c>
      <c r="G150" s="8" t="s">
        <v>897</v>
      </c>
      <c r="H150" s="9">
        <v>198497</v>
      </c>
      <c r="I150" s="7" t="s">
        <v>787</v>
      </c>
      <c r="J150" s="5">
        <v>7293050119</v>
      </c>
      <c r="K150" s="13" t="s">
        <v>898</v>
      </c>
      <c r="L150" s="4" t="s">
        <v>780</v>
      </c>
      <c r="M150" s="19" t="s">
        <v>899</v>
      </c>
      <c r="N150" s="33">
        <v>2024</v>
      </c>
      <c r="O150" s="33"/>
    </row>
    <row r="151" spans="1:15" ht="35.25" customHeight="1">
      <c r="A151" s="236" t="s">
        <v>900</v>
      </c>
      <c r="B151" s="237"/>
      <c r="C151" s="237"/>
      <c r="D151" s="237"/>
      <c r="E151" s="237"/>
      <c r="F151" s="237"/>
      <c r="G151" s="237"/>
      <c r="H151" s="237"/>
      <c r="I151" s="237"/>
      <c r="J151" s="237"/>
      <c r="K151" s="237"/>
      <c r="L151" s="237"/>
      <c r="M151" s="237"/>
      <c r="N151" s="237"/>
      <c r="O151" s="237"/>
    </row>
    <row r="152" spans="1:15" ht="126">
      <c r="A152" s="30" t="s">
        <v>901</v>
      </c>
      <c r="B152" s="4" t="s">
        <v>902</v>
      </c>
      <c r="C152" s="4">
        <v>23</v>
      </c>
      <c r="D152" s="4" t="s">
        <v>903</v>
      </c>
      <c r="E152" s="6" t="s">
        <v>799</v>
      </c>
      <c r="F152" s="7" t="s">
        <v>720</v>
      </c>
      <c r="G152" s="8" t="s">
        <v>239</v>
      </c>
      <c r="H152" s="9">
        <v>199954</v>
      </c>
      <c r="I152" s="7" t="s">
        <v>23</v>
      </c>
      <c r="J152" s="5">
        <v>5545787700</v>
      </c>
      <c r="K152" s="13" t="s">
        <v>904</v>
      </c>
      <c r="L152" s="4" t="s">
        <v>780</v>
      </c>
      <c r="M152" s="19" t="s">
        <v>905</v>
      </c>
      <c r="N152" s="33">
        <v>2025</v>
      </c>
      <c r="O152" s="33"/>
    </row>
    <row r="153" spans="1:15" ht="93.75">
      <c r="A153" s="30" t="s">
        <v>906</v>
      </c>
      <c r="B153" s="12" t="s">
        <v>907</v>
      </c>
      <c r="C153" s="12">
        <v>21</v>
      </c>
      <c r="D153" s="5" t="s">
        <v>908</v>
      </c>
      <c r="E153" s="6" t="s">
        <v>339</v>
      </c>
      <c r="F153" s="7" t="s">
        <v>266</v>
      </c>
      <c r="G153" s="8" t="s">
        <v>682</v>
      </c>
      <c r="H153" s="9">
        <v>200000</v>
      </c>
      <c r="I153" s="7" t="s">
        <v>787</v>
      </c>
      <c r="J153" s="5">
        <v>7222648414</v>
      </c>
      <c r="K153" s="13" t="s">
        <v>909</v>
      </c>
      <c r="L153" s="4" t="s">
        <v>780</v>
      </c>
      <c r="M153" s="19" t="s">
        <v>910</v>
      </c>
      <c r="N153" s="33">
        <v>2025</v>
      </c>
      <c r="O153" s="33"/>
    </row>
    <row r="154" spans="1:15" ht="62.25">
      <c r="A154" s="30" t="s">
        <v>911</v>
      </c>
      <c r="B154" s="20" t="s">
        <v>912</v>
      </c>
      <c r="C154" s="12">
        <v>29</v>
      </c>
      <c r="D154" s="5" t="s">
        <v>913</v>
      </c>
      <c r="E154" s="6" t="s">
        <v>605</v>
      </c>
      <c r="F154" s="7" t="s">
        <v>266</v>
      </c>
      <c r="G154" s="8" t="s">
        <v>914</v>
      </c>
      <c r="H154" s="9">
        <v>199400</v>
      </c>
      <c r="I154" s="7" t="s">
        <v>787</v>
      </c>
      <c r="J154" s="5">
        <v>5554724587</v>
      </c>
      <c r="K154" s="13" t="s">
        <v>915</v>
      </c>
      <c r="L154" s="4" t="s">
        <v>780</v>
      </c>
      <c r="M154" s="19" t="s">
        <v>916</v>
      </c>
      <c r="N154" s="33">
        <v>2025</v>
      </c>
      <c r="O154" s="33"/>
    </row>
    <row r="155" spans="1:15" ht="78">
      <c r="A155" s="30" t="s">
        <v>917</v>
      </c>
      <c r="B155" s="12" t="s">
        <v>918</v>
      </c>
      <c r="C155" s="12">
        <v>24</v>
      </c>
      <c r="D155" s="5" t="s">
        <v>919</v>
      </c>
      <c r="E155" s="6" t="s">
        <v>20</v>
      </c>
      <c r="F155" s="7" t="s">
        <v>21</v>
      </c>
      <c r="G155" s="8" t="s">
        <v>920</v>
      </c>
      <c r="H155" s="9">
        <v>200000</v>
      </c>
      <c r="I155" s="7" t="s">
        <v>787</v>
      </c>
      <c r="J155" s="5">
        <v>5527155878</v>
      </c>
      <c r="K155" s="13" t="s">
        <v>921</v>
      </c>
      <c r="L155" s="4" t="s">
        <v>780</v>
      </c>
      <c r="M155" s="19" t="s">
        <v>922</v>
      </c>
      <c r="N155" s="33">
        <v>2025</v>
      </c>
      <c r="O155" s="33"/>
    </row>
    <row r="156" spans="1:15" ht="78">
      <c r="A156" s="30" t="s">
        <v>923</v>
      </c>
      <c r="B156" s="12" t="s">
        <v>924</v>
      </c>
      <c r="C156" s="12">
        <v>22</v>
      </c>
      <c r="D156" s="5" t="s">
        <v>925</v>
      </c>
      <c r="E156" s="6" t="s">
        <v>926</v>
      </c>
      <c r="F156" s="7" t="s">
        <v>55</v>
      </c>
      <c r="G156" s="8" t="s">
        <v>927</v>
      </c>
      <c r="H156" s="9">
        <v>179666</v>
      </c>
      <c r="I156" s="7" t="s">
        <v>23</v>
      </c>
      <c r="J156" s="5">
        <v>7293611628</v>
      </c>
      <c r="K156" s="13" t="s">
        <v>928</v>
      </c>
      <c r="L156" s="4" t="s">
        <v>780</v>
      </c>
      <c r="M156" s="19" t="s">
        <v>929</v>
      </c>
      <c r="N156" s="33">
        <v>2025</v>
      </c>
      <c r="O156" s="33"/>
    </row>
    <row r="157" spans="1:15" ht="62.25">
      <c r="A157" s="30" t="s">
        <v>930</v>
      </c>
      <c r="B157" s="12" t="s">
        <v>931</v>
      </c>
      <c r="C157" s="12">
        <v>21</v>
      </c>
      <c r="D157" s="5" t="s">
        <v>932</v>
      </c>
      <c r="E157" s="6" t="s">
        <v>440</v>
      </c>
      <c r="F157" s="7" t="s">
        <v>933</v>
      </c>
      <c r="G157" s="8" t="s">
        <v>77</v>
      </c>
      <c r="H157" s="9">
        <v>200000</v>
      </c>
      <c r="I157" s="7" t="s">
        <v>787</v>
      </c>
      <c r="J157" s="5">
        <v>7122681501</v>
      </c>
      <c r="K157" s="13" t="s">
        <v>934</v>
      </c>
      <c r="L157" s="4" t="s">
        <v>780</v>
      </c>
      <c r="M157" s="19" t="s">
        <v>935</v>
      </c>
      <c r="N157" s="33">
        <v>2025</v>
      </c>
      <c r="O157" s="33"/>
    </row>
    <row r="158" spans="1:15" ht="109.5">
      <c r="A158" s="30" t="s">
        <v>936</v>
      </c>
      <c r="B158" s="12" t="s">
        <v>937</v>
      </c>
      <c r="C158" s="12">
        <v>24</v>
      </c>
      <c r="D158" s="5" t="s">
        <v>938</v>
      </c>
      <c r="E158" s="6" t="s">
        <v>47</v>
      </c>
      <c r="F158" s="7" t="s">
        <v>720</v>
      </c>
      <c r="G158" s="8" t="s">
        <v>260</v>
      </c>
      <c r="H158" s="9">
        <v>195000</v>
      </c>
      <c r="I158" s="7" t="s">
        <v>787</v>
      </c>
      <c r="J158" s="5" t="s">
        <v>939</v>
      </c>
      <c r="K158" s="13" t="s">
        <v>940</v>
      </c>
      <c r="L158" s="4" t="s">
        <v>780</v>
      </c>
      <c r="M158" s="19" t="s">
        <v>941</v>
      </c>
      <c r="N158" s="33">
        <v>2025</v>
      </c>
      <c r="O158" s="33"/>
    </row>
    <row r="159" spans="1:15" ht="126">
      <c r="A159" s="30" t="s">
        <v>942</v>
      </c>
      <c r="B159" s="12" t="s">
        <v>943</v>
      </c>
      <c r="C159" s="12">
        <v>25</v>
      </c>
      <c r="D159" s="5" t="s">
        <v>944</v>
      </c>
      <c r="E159" s="6" t="s">
        <v>20</v>
      </c>
      <c r="F159" s="7" t="s">
        <v>21</v>
      </c>
      <c r="G159" s="8" t="s">
        <v>945</v>
      </c>
      <c r="H159" s="9">
        <v>195000</v>
      </c>
      <c r="I159" s="7" t="s">
        <v>23</v>
      </c>
      <c r="J159" s="5" t="s">
        <v>946</v>
      </c>
      <c r="K159" s="13" t="s">
        <v>947</v>
      </c>
      <c r="L159" s="4" t="s">
        <v>780</v>
      </c>
      <c r="M159" s="19" t="s">
        <v>948</v>
      </c>
      <c r="N159" s="33">
        <v>2025</v>
      </c>
      <c r="O159" s="33"/>
    </row>
    <row r="160" spans="1:15" ht="109.5">
      <c r="A160" s="30" t="s">
        <v>949</v>
      </c>
      <c r="B160" s="12" t="s">
        <v>950</v>
      </c>
      <c r="C160" s="12">
        <v>24</v>
      </c>
      <c r="D160" s="5" t="s">
        <v>951</v>
      </c>
      <c r="E160" s="6" t="s">
        <v>811</v>
      </c>
      <c r="F160" s="7" t="s">
        <v>21</v>
      </c>
      <c r="G160" s="8" t="s">
        <v>920</v>
      </c>
      <c r="H160" s="9">
        <v>200000</v>
      </c>
      <c r="I160" s="7" t="s">
        <v>787</v>
      </c>
      <c r="J160" s="5" t="s">
        <v>952</v>
      </c>
      <c r="K160" s="13" t="s">
        <v>953</v>
      </c>
      <c r="L160" s="4" t="s">
        <v>780</v>
      </c>
      <c r="M160" s="19" t="s">
        <v>954</v>
      </c>
      <c r="N160" s="33">
        <v>2025</v>
      </c>
      <c r="O160" s="33"/>
    </row>
    <row r="161" spans="1:15" ht="141">
      <c r="A161" s="30" t="s">
        <v>955</v>
      </c>
      <c r="B161" s="12" t="s">
        <v>956</v>
      </c>
      <c r="C161" s="12">
        <v>28</v>
      </c>
      <c r="D161" s="5" t="s">
        <v>957</v>
      </c>
      <c r="E161" s="6" t="s">
        <v>958</v>
      </c>
      <c r="F161" s="7" t="s">
        <v>21</v>
      </c>
      <c r="G161" s="8" t="s">
        <v>959</v>
      </c>
      <c r="H161" s="9">
        <v>200000</v>
      </c>
      <c r="I161" s="7" t="s">
        <v>787</v>
      </c>
      <c r="J161" s="5">
        <v>7223801082</v>
      </c>
      <c r="K161" s="13" t="s">
        <v>960</v>
      </c>
      <c r="L161" s="4" t="s">
        <v>780</v>
      </c>
      <c r="M161" s="19" t="s">
        <v>961</v>
      </c>
      <c r="N161" s="33">
        <v>2025</v>
      </c>
      <c r="O161" s="33"/>
    </row>
    <row r="162" spans="1:15" ht="96">
      <c r="A162" s="30" t="s">
        <v>962</v>
      </c>
      <c r="B162" s="12" t="s">
        <v>963</v>
      </c>
      <c r="C162" s="12">
        <v>21</v>
      </c>
      <c r="D162" s="5" t="s">
        <v>964</v>
      </c>
      <c r="E162" s="6" t="s">
        <v>62</v>
      </c>
      <c r="F162" s="7" t="s">
        <v>545</v>
      </c>
      <c r="G162" s="8" t="s">
        <v>965</v>
      </c>
      <c r="H162" s="9">
        <v>151018</v>
      </c>
      <c r="I162" s="7" t="s">
        <v>787</v>
      </c>
      <c r="J162" s="5">
        <v>5622141288</v>
      </c>
      <c r="K162" s="13" t="s">
        <v>966</v>
      </c>
      <c r="L162" s="4" t="s">
        <v>780</v>
      </c>
      <c r="M162" s="19" t="s">
        <v>967</v>
      </c>
      <c r="N162" s="33">
        <v>2025</v>
      </c>
      <c r="O162" s="33"/>
    </row>
    <row r="163" spans="1:15" ht="62.25">
      <c r="A163" s="30" t="s">
        <v>968</v>
      </c>
      <c r="B163" s="12" t="s">
        <v>969</v>
      </c>
      <c r="C163" s="12">
        <v>20</v>
      </c>
      <c r="D163" s="5" t="s">
        <v>970</v>
      </c>
      <c r="E163" s="6" t="s">
        <v>68</v>
      </c>
      <c r="F163" s="7" t="s">
        <v>69</v>
      </c>
      <c r="G163" s="8" t="s">
        <v>70</v>
      </c>
      <c r="H163" s="9">
        <v>200000</v>
      </c>
      <c r="I163" s="7" t="s">
        <v>23</v>
      </c>
      <c r="J163" s="5">
        <v>7295294369</v>
      </c>
      <c r="K163" s="13" t="s">
        <v>971</v>
      </c>
      <c r="L163" s="4" t="s">
        <v>780</v>
      </c>
      <c r="M163" s="19" t="s">
        <v>972</v>
      </c>
      <c r="N163" s="33">
        <v>2025</v>
      </c>
      <c r="O163" s="33"/>
    </row>
    <row r="164" spans="1:15" ht="109.5">
      <c r="A164" s="30" t="s">
        <v>973</v>
      </c>
      <c r="B164" s="12" t="s">
        <v>974</v>
      </c>
      <c r="C164" s="12">
        <v>22</v>
      </c>
      <c r="D164" s="5" t="s">
        <v>975</v>
      </c>
      <c r="E164" s="6" t="s">
        <v>20</v>
      </c>
      <c r="F164" s="7" t="s">
        <v>304</v>
      </c>
      <c r="G164" s="8" t="s">
        <v>702</v>
      </c>
      <c r="H164" s="9">
        <v>190000</v>
      </c>
      <c r="I164" s="7" t="s">
        <v>787</v>
      </c>
      <c r="J164" s="5">
        <v>7223938824</v>
      </c>
      <c r="K164" s="13" t="s">
        <v>976</v>
      </c>
      <c r="L164" s="4" t="s">
        <v>780</v>
      </c>
      <c r="M164" s="19" t="s">
        <v>977</v>
      </c>
      <c r="N164" s="33">
        <v>2025</v>
      </c>
      <c r="O164" s="33"/>
    </row>
    <row r="165" spans="1:15" ht="78">
      <c r="A165" s="30" t="s">
        <v>978</v>
      </c>
      <c r="B165" s="12" t="s">
        <v>979</v>
      </c>
      <c r="C165" s="12">
        <v>22</v>
      </c>
      <c r="D165" s="5" t="s">
        <v>980</v>
      </c>
      <c r="E165" s="6" t="s">
        <v>54</v>
      </c>
      <c r="F165" s="7" t="s">
        <v>981</v>
      </c>
      <c r="G165" s="8" t="s">
        <v>982</v>
      </c>
      <c r="H165" s="9">
        <v>198400</v>
      </c>
      <c r="I165" s="7" t="s">
        <v>23</v>
      </c>
      <c r="J165" s="5">
        <v>7228372517</v>
      </c>
      <c r="K165" s="13" t="s">
        <v>983</v>
      </c>
      <c r="L165" s="4" t="s">
        <v>780</v>
      </c>
      <c r="M165" s="19" t="s">
        <v>984</v>
      </c>
      <c r="N165" s="33">
        <v>2025</v>
      </c>
      <c r="O165" s="33"/>
    </row>
    <row r="166" spans="1:15" ht="78">
      <c r="A166" s="30" t="s">
        <v>985</v>
      </c>
      <c r="B166" s="12" t="s">
        <v>986</v>
      </c>
      <c r="C166" s="12">
        <v>22</v>
      </c>
      <c r="D166" s="5" t="s">
        <v>987</v>
      </c>
      <c r="E166" s="6" t="s">
        <v>339</v>
      </c>
      <c r="F166" s="7" t="s">
        <v>168</v>
      </c>
      <c r="G166" s="8" t="s">
        <v>988</v>
      </c>
      <c r="H166" s="9">
        <v>186000</v>
      </c>
      <c r="I166" s="7" t="s">
        <v>787</v>
      </c>
      <c r="J166" s="5">
        <v>5541407959</v>
      </c>
      <c r="K166" s="13" t="s">
        <v>989</v>
      </c>
      <c r="L166" s="4" t="s">
        <v>780</v>
      </c>
      <c r="M166" s="19" t="s">
        <v>990</v>
      </c>
      <c r="N166" s="33">
        <v>2025</v>
      </c>
      <c r="O166" s="33"/>
    </row>
    <row r="167" spans="1:15" ht="62.25">
      <c r="A167" s="30" t="s">
        <v>991</v>
      </c>
      <c r="B167" s="12" t="s">
        <v>992</v>
      </c>
      <c r="C167" s="12">
        <v>29</v>
      </c>
      <c r="D167" s="5" t="s">
        <v>993</v>
      </c>
      <c r="E167" s="6" t="s">
        <v>994</v>
      </c>
      <c r="F167" s="7" t="s">
        <v>763</v>
      </c>
      <c r="G167" s="8" t="s">
        <v>914</v>
      </c>
      <c r="H167" s="9">
        <v>200000</v>
      </c>
      <c r="I167" s="7" t="s">
        <v>787</v>
      </c>
      <c r="J167" s="5">
        <v>5537985290</v>
      </c>
      <c r="K167" s="13" t="s">
        <v>995</v>
      </c>
      <c r="L167" s="4" t="s">
        <v>780</v>
      </c>
      <c r="M167" s="19" t="s">
        <v>996</v>
      </c>
      <c r="N167" s="33">
        <v>2025</v>
      </c>
      <c r="O167" s="33"/>
    </row>
    <row r="168" spans="1:15" ht="78">
      <c r="A168" s="30" t="s">
        <v>997</v>
      </c>
      <c r="B168" s="12" t="s">
        <v>96</v>
      </c>
      <c r="C168" s="12">
        <v>28</v>
      </c>
      <c r="D168" s="5" t="s">
        <v>998</v>
      </c>
      <c r="E168" s="6" t="s">
        <v>999</v>
      </c>
      <c r="F168" s="7" t="s">
        <v>21</v>
      </c>
      <c r="G168" s="8" t="s">
        <v>702</v>
      </c>
      <c r="H168" s="9">
        <v>200000</v>
      </c>
      <c r="I168" s="7" t="s">
        <v>23</v>
      </c>
      <c r="J168" s="5">
        <v>7222919091</v>
      </c>
      <c r="K168" s="13" t="s">
        <v>484</v>
      </c>
      <c r="L168" s="4" t="s">
        <v>780</v>
      </c>
      <c r="M168" s="19" t="s">
        <v>1000</v>
      </c>
      <c r="N168" s="33">
        <v>2025</v>
      </c>
      <c r="O168" s="33"/>
    </row>
    <row r="169" spans="1:15" ht="93.75">
      <c r="A169" s="30" t="s">
        <v>1001</v>
      </c>
      <c r="B169" s="12" t="s">
        <v>1002</v>
      </c>
      <c r="C169" s="12">
        <v>20</v>
      </c>
      <c r="D169" s="5" t="s">
        <v>1003</v>
      </c>
      <c r="E169" s="6" t="s">
        <v>1004</v>
      </c>
      <c r="F169" s="7" t="s">
        <v>21</v>
      </c>
      <c r="G169" s="8" t="s">
        <v>959</v>
      </c>
      <c r="H169" s="9">
        <v>200000</v>
      </c>
      <c r="I169" s="7" t="s">
        <v>23</v>
      </c>
      <c r="J169" s="5">
        <v>7224431134</v>
      </c>
      <c r="K169" s="13" t="s">
        <v>1005</v>
      </c>
      <c r="L169" s="4" t="s">
        <v>780</v>
      </c>
      <c r="M169" s="19" t="s">
        <v>1006</v>
      </c>
      <c r="N169" s="33">
        <v>2025</v>
      </c>
      <c r="O169" s="33"/>
    </row>
    <row r="170" spans="1:15" ht="126">
      <c r="A170" s="30" t="s">
        <v>1007</v>
      </c>
      <c r="B170" s="12" t="s">
        <v>213</v>
      </c>
      <c r="C170" s="12">
        <v>26</v>
      </c>
      <c r="D170" s="5" t="s">
        <v>1008</v>
      </c>
      <c r="E170" s="6" t="s">
        <v>62</v>
      </c>
      <c r="F170" s="7" t="s">
        <v>1009</v>
      </c>
      <c r="G170" s="8" t="s">
        <v>702</v>
      </c>
      <c r="H170" s="9">
        <v>199960</v>
      </c>
      <c r="I170" s="7" t="s">
        <v>787</v>
      </c>
      <c r="J170" s="5">
        <v>7224962673</v>
      </c>
      <c r="K170" s="13" t="s">
        <v>746</v>
      </c>
      <c r="L170" s="4" t="s">
        <v>780</v>
      </c>
      <c r="M170" s="19" t="s">
        <v>1010</v>
      </c>
      <c r="N170" s="33">
        <v>2025</v>
      </c>
      <c r="O170" s="33"/>
    </row>
    <row r="171" spans="1:15" ht="93.75">
      <c r="A171" s="30" t="s">
        <v>1011</v>
      </c>
      <c r="B171" s="12" t="s">
        <v>1012</v>
      </c>
      <c r="C171" s="12">
        <v>20</v>
      </c>
      <c r="D171" s="5" t="s">
        <v>1013</v>
      </c>
      <c r="E171" s="6" t="s">
        <v>1014</v>
      </c>
      <c r="F171" s="7" t="s">
        <v>21</v>
      </c>
      <c r="G171" s="8" t="s">
        <v>702</v>
      </c>
      <c r="H171" s="9">
        <v>200000</v>
      </c>
      <c r="I171" s="7" t="s">
        <v>787</v>
      </c>
      <c r="J171" s="5">
        <v>7293677465</v>
      </c>
      <c r="K171" s="13" t="s">
        <v>1015</v>
      </c>
      <c r="L171" s="4" t="s">
        <v>780</v>
      </c>
      <c r="M171" s="19" t="s">
        <v>1016</v>
      </c>
      <c r="N171" s="33">
        <v>2025</v>
      </c>
      <c r="O171" s="33"/>
    </row>
    <row r="172" spans="1:15" ht="93.75">
      <c r="A172" s="30" t="s">
        <v>1017</v>
      </c>
      <c r="B172" s="12" t="s">
        <v>1018</v>
      </c>
      <c r="C172" s="12">
        <v>27</v>
      </c>
      <c r="D172" s="5" t="s">
        <v>1019</v>
      </c>
      <c r="E172" s="6" t="s">
        <v>440</v>
      </c>
      <c r="F172" s="7" t="s">
        <v>21</v>
      </c>
      <c r="G172" s="8" t="s">
        <v>914</v>
      </c>
      <c r="H172" s="9">
        <v>200000</v>
      </c>
      <c r="I172" s="7" t="s">
        <v>23</v>
      </c>
      <c r="J172" s="5">
        <v>7222062459</v>
      </c>
      <c r="K172" s="13" t="s">
        <v>1020</v>
      </c>
      <c r="L172" s="4" t="s">
        <v>780</v>
      </c>
      <c r="M172" s="19" t="s">
        <v>1021</v>
      </c>
      <c r="N172" s="33">
        <v>2025</v>
      </c>
      <c r="O172" s="33"/>
    </row>
    <row r="173" spans="1:15" ht="109.5">
      <c r="A173" s="30" t="s">
        <v>1022</v>
      </c>
      <c r="B173" s="12" t="s">
        <v>1023</v>
      </c>
      <c r="C173" s="12">
        <v>26</v>
      </c>
      <c r="D173" s="5" t="s">
        <v>1024</v>
      </c>
      <c r="E173" s="6" t="s">
        <v>68</v>
      </c>
      <c r="F173" s="7" t="s">
        <v>1025</v>
      </c>
      <c r="G173" s="8" t="s">
        <v>77</v>
      </c>
      <c r="H173" s="9">
        <v>200000</v>
      </c>
      <c r="I173" s="7" t="s">
        <v>787</v>
      </c>
      <c r="J173" s="5">
        <v>7121164852</v>
      </c>
      <c r="K173" s="13" t="s">
        <v>1026</v>
      </c>
      <c r="L173" s="4" t="s">
        <v>780</v>
      </c>
      <c r="M173" s="19" t="s">
        <v>1027</v>
      </c>
      <c r="N173" s="33">
        <v>2025</v>
      </c>
      <c r="O173" s="33"/>
    </row>
    <row r="174" spans="1:15" ht="126">
      <c r="A174" s="30" t="s">
        <v>1028</v>
      </c>
      <c r="B174" s="12" t="s">
        <v>1029</v>
      </c>
      <c r="C174" s="12">
        <v>22</v>
      </c>
      <c r="D174" s="5" t="s">
        <v>1030</v>
      </c>
      <c r="E174" s="6" t="s">
        <v>47</v>
      </c>
      <c r="F174" s="7" t="s">
        <v>39</v>
      </c>
      <c r="G174" s="8" t="s">
        <v>40</v>
      </c>
      <c r="H174" s="9">
        <v>200000</v>
      </c>
      <c r="I174" s="7" t="s">
        <v>23</v>
      </c>
      <c r="J174" s="5">
        <v>5518346470</v>
      </c>
      <c r="K174" s="13" t="s">
        <v>1031</v>
      </c>
      <c r="L174" s="4" t="s">
        <v>780</v>
      </c>
      <c r="M174" s="19" t="s">
        <v>1032</v>
      </c>
      <c r="N174" s="33">
        <v>2025</v>
      </c>
      <c r="O174" s="33"/>
    </row>
    <row r="175" spans="1:15" ht="62.25">
      <c r="A175" s="30" t="s">
        <v>1033</v>
      </c>
      <c r="B175" s="20" t="s">
        <v>1034</v>
      </c>
      <c r="C175" s="12">
        <v>23</v>
      </c>
      <c r="D175" s="5" t="s">
        <v>1035</v>
      </c>
      <c r="E175" s="6" t="s">
        <v>62</v>
      </c>
      <c r="F175" s="7" t="s">
        <v>111</v>
      </c>
      <c r="G175" s="8" t="s">
        <v>126</v>
      </c>
      <c r="H175" s="9">
        <v>199663</v>
      </c>
      <c r="I175" s="7" t="s">
        <v>23</v>
      </c>
      <c r="J175" s="5">
        <v>7295976397</v>
      </c>
      <c r="K175" s="13" t="s">
        <v>411</v>
      </c>
      <c r="L175" s="4" t="s">
        <v>780</v>
      </c>
      <c r="M175" s="19" t="s">
        <v>1036</v>
      </c>
      <c r="N175" s="33">
        <v>2025</v>
      </c>
      <c r="O175" s="33"/>
    </row>
    <row r="176" spans="1:15" ht="93.75">
      <c r="A176" s="30" t="s">
        <v>1037</v>
      </c>
      <c r="B176" s="12" t="s">
        <v>1038</v>
      </c>
      <c r="C176" s="12">
        <v>27</v>
      </c>
      <c r="D176" s="5" t="s">
        <v>1039</v>
      </c>
      <c r="E176" s="6" t="s">
        <v>47</v>
      </c>
      <c r="F176" s="7" t="s">
        <v>48</v>
      </c>
      <c r="G176" s="8" t="s">
        <v>40</v>
      </c>
      <c r="H176" s="9">
        <v>200000</v>
      </c>
      <c r="I176" s="7" t="s">
        <v>787</v>
      </c>
      <c r="J176" s="5">
        <v>5554964195</v>
      </c>
      <c r="K176" s="13" t="s">
        <v>1040</v>
      </c>
      <c r="L176" s="4" t="s">
        <v>780</v>
      </c>
      <c r="M176" s="19" t="s">
        <v>1041</v>
      </c>
      <c r="N176" s="33">
        <v>2025</v>
      </c>
      <c r="O176" s="33"/>
    </row>
    <row r="177" spans="1:15" ht="126">
      <c r="A177" s="30" t="s">
        <v>1042</v>
      </c>
      <c r="B177" s="12" t="s">
        <v>1043</v>
      </c>
      <c r="C177" s="12">
        <v>24</v>
      </c>
      <c r="D177" s="5" t="s">
        <v>1044</v>
      </c>
      <c r="E177" s="6" t="s">
        <v>62</v>
      </c>
      <c r="F177" s="7" t="s">
        <v>21</v>
      </c>
      <c r="G177" s="8" t="s">
        <v>702</v>
      </c>
      <c r="H177" s="9">
        <v>200000</v>
      </c>
      <c r="I177" s="7" t="s">
        <v>23</v>
      </c>
      <c r="J177" s="5">
        <v>7229091568</v>
      </c>
      <c r="K177" s="13" t="s">
        <v>1045</v>
      </c>
      <c r="L177" s="4" t="s">
        <v>780</v>
      </c>
      <c r="M177" s="19" t="s">
        <v>1046</v>
      </c>
      <c r="N177" s="33">
        <v>2025</v>
      </c>
      <c r="O177" s="33"/>
    </row>
    <row r="178" spans="1:15" ht="78">
      <c r="A178" s="30" t="s">
        <v>1047</v>
      </c>
      <c r="B178" s="12" t="s">
        <v>1048</v>
      </c>
      <c r="C178" s="12">
        <v>22</v>
      </c>
      <c r="D178" s="5" t="s">
        <v>1049</v>
      </c>
      <c r="E178" s="6" t="s">
        <v>62</v>
      </c>
      <c r="F178" s="7" t="s">
        <v>21</v>
      </c>
      <c r="G178" s="8" t="s">
        <v>702</v>
      </c>
      <c r="H178" s="9">
        <v>200000</v>
      </c>
      <c r="I178" s="7" t="s">
        <v>23</v>
      </c>
      <c r="J178" s="5" t="s">
        <v>1050</v>
      </c>
      <c r="K178" s="13" t="s">
        <v>1051</v>
      </c>
      <c r="L178" s="4" t="s">
        <v>780</v>
      </c>
      <c r="M178" s="19" t="s">
        <v>1052</v>
      </c>
      <c r="N178" s="33">
        <v>2025</v>
      </c>
      <c r="O178" s="33"/>
    </row>
    <row r="179" spans="1:15" ht="78">
      <c r="A179" s="30" t="s">
        <v>1053</v>
      </c>
      <c r="B179" s="12" t="s">
        <v>1054</v>
      </c>
      <c r="C179" s="12">
        <v>25</v>
      </c>
      <c r="D179" s="5" t="s">
        <v>1055</v>
      </c>
      <c r="E179" s="6" t="s">
        <v>62</v>
      </c>
      <c r="F179" s="7" t="s">
        <v>55</v>
      </c>
      <c r="G179" s="8" t="s">
        <v>702</v>
      </c>
      <c r="H179" s="9">
        <v>200000</v>
      </c>
      <c r="I179" s="7" t="s">
        <v>787</v>
      </c>
      <c r="J179" s="5">
        <v>7226911867</v>
      </c>
      <c r="K179" s="13" t="s">
        <v>1056</v>
      </c>
      <c r="L179" s="4" t="s">
        <v>780</v>
      </c>
      <c r="M179" s="19" t="s">
        <v>1057</v>
      </c>
      <c r="N179" s="33">
        <v>2025</v>
      </c>
      <c r="O179" s="33"/>
    </row>
    <row r="180" spans="1:15" ht="141">
      <c r="A180" s="30" t="s">
        <v>1058</v>
      </c>
      <c r="B180" s="12" t="s">
        <v>1059</v>
      </c>
      <c r="C180" s="12">
        <v>29</v>
      </c>
      <c r="D180" s="5" t="s">
        <v>1060</v>
      </c>
      <c r="E180" s="6" t="s">
        <v>20</v>
      </c>
      <c r="F180" s="7" t="s">
        <v>69</v>
      </c>
      <c r="G180" s="8" t="s">
        <v>1061</v>
      </c>
      <c r="H180" s="9">
        <v>172482</v>
      </c>
      <c r="I180" s="7" t="s">
        <v>23</v>
      </c>
      <c r="J180" s="5">
        <v>7228355484</v>
      </c>
      <c r="K180" s="13" t="s">
        <v>1062</v>
      </c>
      <c r="L180" s="4" t="s">
        <v>780</v>
      </c>
      <c r="M180" s="19" t="s">
        <v>1063</v>
      </c>
      <c r="N180" s="33">
        <v>2025</v>
      </c>
      <c r="O180" s="33"/>
    </row>
    <row r="181" spans="1:15" ht="93.75">
      <c r="A181" s="30" t="s">
        <v>1064</v>
      </c>
      <c r="B181" s="12" t="s">
        <v>1065</v>
      </c>
      <c r="C181" s="12">
        <v>28</v>
      </c>
      <c r="D181" s="5" t="s">
        <v>1066</v>
      </c>
      <c r="E181" s="6" t="s">
        <v>1067</v>
      </c>
      <c r="F181" s="7" t="s">
        <v>1068</v>
      </c>
      <c r="G181" s="8" t="s">
        <v>927</v>
      </c>
      <c r="H181" s="9">
        <v>200000</v>
      </c>
      <c r="I181" s="7" t="s">
        <v>787</v>
      </c>
      <c r="J181" s="5">
        <v>7221837767</v>
      </c>
      <c r="K181" s="13" t="s">
        <v>1069</v>
      </c>
      <c r="L181" s="4" t="s">
        <v>780</v>
      </c>
      <c r="M181" s="19" t="s">
        <v>1070</v>
      </c>
      <c r="N181" s="33">
        <v>2025</v>
      </c>
      <c r="O181" s="33"/>
    </row>
    <row r="182" spans="1:15" ht="78">
      <c r="A182" s="30" t="s">
        <v>1071</v>
      </c>
      <c r="B182" s="12" t="s">
        <v>1072</v>
      </c>
      <c r="C182" s="12">
        <v>24</v>
      </c>
      <c r="D182" s="5" t="s">
        <v>1073</v>
      </c>
      <c r="E182" s="6" t="s">
        <v>272</v>
      </c>
      <c r="F182" s="7" t="s">
        <v>1074</v>
      </c>
      <c r="G182" s="8" t="s">
        <v>702</v>
      </c>
      <c r="H182" s="9">
        <v>170000</v>
      </c>
      <c r="I182" s="7" t="s">
        <v>787</v>
      </c>
      <c r="J182" s="5">
        <v>7121758605</v>
      </c>
      <c r="K182" s="13" t="s">
        <v>1075</v>
      </c>
      <c r="L182" s="4" t="s">
        <v>780</v>
      </c>
      <c r="M182" s="19" t="s">
        <v>1076</v>
      </c>
      <c r="N182" s="33">
        <v>2025</v>
      </c>
      <c r="O182" s="33"/>
    </row>
    <row r="183" spans="1:15" ht="78">
      <c r="A183" s="30" t="s">
        <v>1077</v>
      </c>
      <c r="B183" s="12" t="s">
        <v>1078</v>
      </c>
      <c r="C183" s="12">
        <v>27</v>
      </c>
      <c r="D183" s="5" t="s">
        <v>1079</v>
      </c>
      <c r="E183" s="6" t="s">
        <v>62</v>
      </c>
      <c r="F183" s="7" t="s">
        <v>1080</v>
      </c>
      <c r="G183" s="8" t="s">
        <v>702</v>
      </c>
      <c r="H183" s="9">
        <v>200000</v>
      </c>
      <c r="I183" s="7" t="s">
        <v>23</v>
      </c>
      <c r="J183" s="5">
        <v>7295305535</v>
      </c>
      <c r="K183" s="13" t="s">
        <v>1081</v>
      </c>
      <c r="L183" s="4" t="s">
        <v>780</v>
      </c>
      <c r="M183" s="19" t="s">
        <v>1082</v>
      </c>
      <c r="N183" s="33">
        <v>2025</v>
      </c>
      <c r="O183" s="33"/>
    </row>
    <row r="184" spans="1:15" ht="78">
      <c r="A184" s="30" t="s">
        <v>1083</v>
      </c>
      <c r="B184" s="12" t="s">
        <v>1084</v>
      </c>
      <c r="C184" s="12">
        <v>29</v>
      </c>
      <c r="D184" s="5" t="s">
        <v>1085</v>
      </c>
      <c r="E184" s="6" t="s">
        <v>339</v>
      </c>
      <c r="F184" s="7" t="s">
        <v>1068</v>
      </c>
      <c r="G184" s="8" t="s">
        <v>696</v>
      </c>
      <c r="H184" s="9">
        <v>200000</v>
      </c>
      <c r="I184" s="7" t="s">
        <v>787</v>
      </c>
      <c r="J184" s="5">
        <v>7224437811</v>
      </c>
      <c r="K184" s="13" t="s">
        <v>1086</v>
      </c>
      <c r="L184" s="4" t="s">
        <v>780</v>
      </c>
      <c r="M184" s="19" t="s">
        <v>1087</v>
      </c>
      <c r="N184" s="33">
        <v>2025</v>
      </c>
      <c r="O184" s="33"/>
    </row>
    <row r="185" spans="1:15" ht="62.25">
      <c r="A185" s="30" t="s">
        <v>1088</v>
      </c>
      <c r="B185" s="12" t="s">
        <v>1089</v>
      </c>
      <c r="C185" s="12">
        <v>23</v>
      </c>
      <c r="D185" s="5" t="s">
        <v>1090</v>
      </c>
      <c r="E185" s="6" t="s">
        <v>1091</v>
      </c>
      <c r="F185" s="7" t="s">
        <v>1092</v>
      </c>
      <c r="G185" s="8" t="s">
        <v>1093</v>
      </c>
      <c r="H185" s="9">
        <v>200000</v>
      </c>
      <c r="I185" s="7" t="s">
        <v>787</v>
      </c>
      <c r="J185" s="5" t="s">
        <v>1094</v>
      </c>
      <c r="K185" s="13" t="s">
        <v>1095</v>
      </c>
      <c r="L185" s="4" t="s">
        <v>780</v>
      </c>
      <c r="M185" s="19" t="s">
        <v>1096</v>
      </c>
      <c r="N185" s="33">
        <v>2025</v>
      </c>
      <c r="O185" s="33"/>
    </row>
    <row r="186" spans="1:15" ht="93.75">
      <c r="A186" s="30" t="s">
        <v>1097</v>
      </c>
      <c r="B186" s="12" t="s">
        <v>1098</v>
      </c>
      <c r="C186" s="12">
        <v>22</v>
      </c>
      <c r="D186" s="5" t="s">
        <v>1099</v>
      </c>
      <c r="E186" s="6" t="s">
        <v>272</v>
      </c>
      <c r="F186" s="7" t="s">
        <v>21</v>
      </c>
      <c r="G186" s="8" t="s">
        <v>702</v>
      </c>
      <c r="H186" s="9">
        <v>200000</v>
      </c>
      <c r="I186" s="7" t="s">
        <v>23</v>
      </c>
      <c r="J186" s="5" t="s">
        <v>1100</v>
      </c>
      <c r="K186" s="13" t="s">
        <v>1101</v>
      </c>
      <c r="L186" s="4" t="s">
        <v>780</v>
      </c>
      <c r="M186" s="19" t="s">
        <v>1102</v>
      </c>
      <c r="N186" s="33">
        <v>2025</v>
      </c>
      <c r="O186" s="33"/>
    </row>
    <row r="187" spans="1:15" ht="15">
      <c r="H187" s="21">
        <f>SUM(H7:H186)</f>
        <v>52400579.640000008</v>
      </c>
    </row>
  </sheetData>
  <autoFilter ref="A5:O5" xr:uid="{00000000-0009-0000-0000-000000000000}"/>
  <mergeCells count="7">
    <mergeCell ref="A114:O114"/>
    <mergeCell ref="A130:O130"/>
    <mergeCell ref="A151:O151"/>
    <mergeCell ref="A2:I3"/>
    <mergeCell ref="A6:O6"/>
    <mergeCell ref="A27:O27"/>
    <mergeCell ref="A71:O71"/>
  </mergeCells>
  <hyperlinks>
    <hyperlink ref="K7" r:id="rId1" xr:uid="{00000000-0004-0000-0000-000000000000}"/>
    <hyperlink ref="K8" r:id="rId2" xr:uid="{00000000-0004-0000-0000-000001000000}"/>
    <hyperlink ref="K9" r:id="rId3" xr:uid="{00000000-0004-0000-0000-000002000000}"/>
    <hyperlink ref="K10" r:id="rId4" xr:uid="{00000000-0004-0000-0000-000003000000}"/>
    <hyperlink ref="K13" r:id="rId5" xr:uid="{00000000-0004-0000-0000-000004000000}"/>
    <hyperlink ref="K14" r:id="rId6" xr:uid="{00000000-0004-0000-0000-000005000000}"/>
    <hyperlink ref="K15" r:id="rId7" xr:uid="{00000000-0004-0000-0000-000006000000}"/>
    <hyperlink ref="K16" r:id="rId8" xr:uid="{00000000-0004-0000-0000-000007000000}"/>
    <hyperlink ref="K18" r:id="rId9" xr:uid="{00000000-0004-0000-0000-000008000000}"/>
    <hyperlink ref="K19" r:id="rId10" xr:uid="{00000000-0004-0000-0000-000009000000}"/>
    <hyperlink ref="K17" r:id="rId11" xr:uid="{00000000-0004-0000-0000-00000A000000}"/>
    <hyperlink ref="K24" r:id="rId12" xr:uid="{00000000-0004-0000-0000-00000B000000}"/>
    <hyperlink ref="K28" r:id="rId13" xr:uid="{00000000-0004-0000-0000-00000C000000}"/>
    <hyperlink ref="K29" r:id="rId14" xr:uid="{00000000-0004-0000-0000-00000D000000}"/>
    <hyperlink ref="K35" r:id="rId15" xr:uid="{00000000-0004-0000-0000-00000E000000}"/>
    <hyperlink ref="K34" r:id="rId16" xr:uid="{00000000-0004-0000-0000-00000F000000}"/>
    <hyperlink ref="K32" r:id="rId17" xr:uid="{00000000-0004-0000-0000-000010000000}"/>
    <hyperlink ref="K31" r:id="rId18" xr:uid="{00000000-0004-0000-0000-000011000000}"/>
    <hyperlink ref="K37" r:id="rId19" xr:uid="{00000000-0004-0000-0000-000012000000}"/>
    <hyperlink ref="K38" r:id="rId20" xr:uid="{00000000-0004-0000-0000-000013000000}"/>
    <hyperlink ref="K40" r:id="rId21" xr:uid="{00000000-0004-0000-0000-000014000000}"/>
    <hyperlink ref="K43" r:id="rId22" xr:uid="{00000000-0004-0000-0000-000015000000}"/>
    <hyperlink ref="K45" r:id="rId23" xr:uid="{00000000-0004-0000-0000-000016000000}"/>
    <hyperlink ref="K56" r:id="rId24" xr:uid="{00000000-0004-0000-0000-000017000000}"/>
    <hyperlink ref="K57" r:id="rId25" xr:uid="{00000000-0004-0000-0000-000018000000}"/>
    <hyperlink ref="K33" r:id="rId26" xr:uid="{00000000-0004-0000-0000-000019000000}"/>
    <hyperlink ref="K42" r:id="rId27" xr:uid="{00000000-0004-0000-0000-00001A000000}"/>
    <hyperlink ref="K48" r:id="rId28" xr:uid="{00000000-0004-0000-0000-00001B000000}"/>
    <hyperlink ref="K30" r:id="rId29" xr:uid="{00000000-0004-0000-0000-00001C000000}"/>
    <hyperlink ref="K36" r:id="rId30" xr:uid="{00000000-0004-0000-0000-00001D000000}"/>
    <hyperlink ref="K49" r:id="rId31" xr:uid="{00000000-0004-0000-0000-00001E000000}"/>
    <hyperlink ref="K50" r:id="rId32" xr:uid="{00000000-0004-0000-0000-00001F000000}"/>
    <hyperlink ref="K51" r:id="rId33" xr:uid="{00000000-0004-0000-0000-000020000000}"/>
    <hyperlink ref="K52" r:id="rId34" xr:uid="{00000000-0004-0000-0000-000021000000}"/>
    <hyperlink ref="K53" r:id="rId35" xr:uid="{00000000-0004-0000-0000-000022000000}"/>
    <hyperlink ref="K55" r:id="rId36" xr:uid="{00000000-0004-0000-0000-000023000000}"/>
    <hyperlink ref="K41" r:id="rId37" display="cidejua@hotmail.com" xr:uid="{00000000-0004-0000-0000-000024000000}"/>
    <hyperlink ref="K44" r:id="rId38" xr:uid="{00000000-0004-0000-0000-000025000000}"/>
    <hyperlink ref="K46" r:id="rId39" xr:uid="{00000000-0004-0000-0000-000026000000}"/>
    <hyperlink ref="K47" r:id="rId40" xr:uid="{00000000-0004-0000-0000-000027000000}"/>
    <hyperlink ref="K61" r:id="rId41" display="gustavoalberto25821@outlook.es " xr:uid="{00000000-0004-0000-0000-000028000000}"/>
    <hyperlink ref="K62" r:id="rId42" display="blanca_jasmin_garcia.mct@tesco.edu.mx" xr:uid="{00000000-0004-0000-0000-000029000000}"/>
    <hyperlink ref="K63" r:id="rId43" display="agustinplank042@gmail.com" xr:uid="{00000000-0004-0000-0000-00002A000000}"/>
    <hyperlink ref="K67" r:id="rId44" display="anacit.gomez@gmail.com" xr:uid="{00000000-0004-0000-0000-00002B000000}"/>
    <hyperlink ref="K70" r:id="rId45" display="casasalejandro443@gmail.com" xr:uid="{00000000-0004-0000-0000-00002C000000}"/>
    <hyperlink ref="K75" r:id="rId46" xr:uid="{00000000-0004-0000-0000-00002D000000}"/>
    <hyperlink ref="K76" r:id="rId47" xr:uid="{00000000-0004-0000-0000-00002E000000}"/>
    <hyperlink ref="K77" r:id="rId48" xr:uid="{00000000-0004-0000-0000-00002F000000}"/>
    <hyperlink ref="K79" r:id="rId49" xr:uid="{00000000-0004-0000-0000-000030000000}"/>
    <hyperlink ref="K80" r:id="rId50" xr:uid="{00000000-0004-0000-0000-000031000000}"/>
    <hyperlink ref="K81" r:id="rId51" xr:uid="{00000000-0004-0000-0000-000032000000}"/>
    <hyperlink ref="K82" r:id="rId52" xr:uid="{00000000-0004-0000-0000-000033000000}"/>
    <hyperlink ref="K83" r:id="rId53" xr:uid="{00000000-0004-0000-0000-000034000000}"/>
    <hyperlink ref="K84" r:id="rId54" xr:uid="{00000000-0004-0000-0000-000035000000}"/>
    <hyperlink ref="K85" r:id="rId55" xr:uid="{00000000-0004-0000-0000-000036000000}"/>
    <hyperlink ref="K86" r:id="rId56" xr:uid="{00000000-0004-0000-0000-000037000000}"/>
    <hyperlink ref="K87" r:id="rId57" xr:uid="{00000000-0004-0000-0000-000038000000}"/>
    <hyperlink ref="K88" r:id="rId58" xr:uid="{00000000-0004-0000-0000-000039000000}"/>
    <hyperlink ref="K89" r:id="rId59" xr:uid="{00000000-0004-0000-0000-00003A000000}"/>
    <hyperlink ref="K90" r:id="rId60" xr:uid="{00000000-0004-0000-0000-00003B000000}"/>
    <hyperlink ref="K91" r:id="rId61" xr:uid="{00000000-0004-0000-0000-00003C000000}"/>
    <hyperlink ref="K92" r:id="rId62" xr:uid="{00000000-0004-0000-0000-00003D000000}"/>
    <hyperlink ref="K93" r:id="rId63" xr:uid="{00000000-0004-0000-0000-00003E000000}"/>
    <hyperlink ref="K94" r:id="rId64" xr:uid="{00000000-0004-0000-0000-00003F000000}"/>
    <hyperlink ref="K96" r:id="rId65" xr:uid="{00000000-0004-0000-0000-000040000000}"/>
    <hyperlink ref="K97" r:id="rId66" xr:uid="{00000000-0004-0000-0000-000041000000}"/>
    <hyperlink ref="K98" r:id="rId67" xr:uid="{00000000-0004-0000-0000-000042000000}"/>
    <hyperlink ref="K99" r:id="rId68" xr:uid="{00000000-0004-0000-0000-000043000000}"/>
    <hyperlink ref="K101" r:id="rId69" xr:uid="{00000000-0004-0000-0000-000044000000}"/>
    <hyperlink ref="K102" r:id="rId70" xr:uid="{00000000-0004-0000-0000-000045000000}"/>
    <hyperlink ref="K103" r:id="rId71" xr:uid="{00000000-0004-0000-0000-000046000000}"/>
    <hyperlink ref="K104" r:id="rId72" xr:uid="{00000000-0004-0000-0000-000047000000}"/>
    <hyperlink ref="K106" r:id="rId73" xr:uid="{00000000-0004-0000-0000-000048000000}"/>
    <hyperlink ref="K107" r:id="rId74" xr:uid="{00000000-0004-0000-0000-000049000000}"/>
    <hyperlink ref="K108" r:id="rId75" xr:uid="{00000000-0004-0000-0000-00004A000000}"/>
    <hyperlink ref="K109" r:id="rId76" xr:uid="{00000000-0004-0000-0000-00004B000000}"/>
    <hyperlink ref="K110" r:id="rId77" xr:uid="{00000000-0004-0000-0000-00004C000000}"/>
    <hyperlink ref="K113" r:id="rId78" xr:uid="{00000000-0004-0000-0000-00004D000000}"/>
    <hyperlink ref="K111" r:id="rId79" xr:uid="{00000000-0004-0000-0000-00004E000000}"/>
    <hyperlink ref="K72" r:id="rId80" xr:uid="{00000000-0004-0000-0000-00004F000000}"/>
    <hyperlink ref="K73" r:id="rId81" xr:uid="{00000000-0004-0000-0000-000050000000}"/>
    <hyperlink ref="K74" r:id="rId82" xr:uid="{00000000-0004-0000-0000-000051000000}"/>
    <hyperlink ref="K78" r:id="rId83" xr:uid="{00000000-0004-0000-0000-000052000000}"/>
    <hyperlink ref="K112" r:id="rId84" xr:uid="{00000000-0004-0000-0000-000053000000}"/>
    <hyperlink ref="K115" r:id="rId85" xr:uid="{00000000-0004-0000-0000-000054000000}"/>
    <hyperlink ref="K116" r:id="rId86" xr:uid="{00000000-0004-0000-0000-000055000000}"/>
    <hyperlink ref="K117" r:id="rId87" xr:uid="{00000000-0004-0000-0000-000056000000}"/>
    <hyperlink ref="K118" r:id="rId88" xr:uid="{00000000-0004-0000-0000-000057000000}"/>
    <hyperlink ref="K119" r:id="rId89" xr:uid="{00000000-0004-0000-0000-000058000000}"/>
    <hyperlink ref="K120" r:id="rId90" xr:uid="{00000000-0004-0000-0000-000059000000}"/>
    <hyperlink ref="K121" r:id="rId91" xr:uid="{00000000-0004-0000-0000-00005A000000}"/>
    <hyperlink ref="K122" r:id="rId92" xr:uid="{00000000-0004-0000-0000-00005B000000}"/>
    <hyperlink ref="K123" r:id="rId93" xr:uid="{00000000-0004-0000-0000-00005C000000}"/>
    <hyperlink ref="K124" r:id="rId94" xr:uid="{00000000-0004-0000-0000-00005D000000}"/>
    <hyperlink ref="K125" r:id="rId95" xr:uid="{00000000-0004-0000-0000-00005E000000}"/>
    <hyperlink ref="K126" r:id="rId96" xr:uid="{00000000-0004-0000-0000-00005F000000}"/>
    <hyperlink ref="K150" r:id="rId97" xr:uid="{00000000-0004-0000-0000-000060000000}"/>
    <hyperlink ref="K149" r:id="rId98" xr:uid="{00000000-0004-0000-0000-000061000000}"/>
    <hyperlink ref="K148" r:id="rId99" xr:uid="{00000000-0004-0000-0000-000062000000}"/>
    <hyperlink ref="K147" r:id="rId100" xr:uid="{00000000-0004-0000-0000-000063000000}"/>
    <hyperlink ref="K146" r:id="rId101" xr:uid="{00000000-0004-0000-0000-000064000000}"/>
    <hyperlink ref="K145" r:id="rId102" xr:uid="{00000000-0004-0000-0000-000065000000}"/>
    <hyperlink ref="K144" r:id="rId103" xr:uid="{00000000-0004-0000-0000-000066000000}"/>
    <hyperlink ref="K143" r:id="rId104" xr:uid="{00000000-0004-0000-0000-000067000000}"/>
    <hyperlink ref="K142" r:id="rId105" xr:uid="{00000000-0004-0000-0000-000068000000}"/>
    <hyperlink ref="K141" r:id="rId106" xr:uid="{00000000-0004-0000-0000-000069000000}"/>
    <hyperlink ref="K140" r:id="rId107" xr:uid="{00000000-0004-0000-0000-00006A000000}"/>
    <hyperlink ref="K139" r:id="rId108" xr:uid="{00000000-0004-0000-0000-00006B000000}"/>
    <hyperlink ref="K138" r:id="rId109" xr:uid="{00000000-0004-0000-0000-00006C000000}"/>
    <hyperlink ref="K137" r:id="rId110" xr:uid="{00000000-0004-0000-0000-00006D000000}"/>
    <hyperlink ref="K136" r:id="rId111" xr:uid="{00000000-0004-0000-0000-00006E000000}"/>
    <hyperlink ref="K135" r:id="rId112" xr:uid="{00000000-0004-0000-0000-00006F000000}"/>
    <hyperlink ref="K134" r:id="rId113" xr:uid="{00000000-0004-0000-0000-000070000000}"/>
    <hyperlink ref="K133" r:id="rId114" xr:uid="{00000000-0004-0000-0000-000071000000}"/>
    <hyperlink ref="K132" r:id="rId115" xr:uid="{00000000-0004-0000-0000-000072000000}"/>
    <hyperlink ref="K131" r:id="rId116" xr:uid="{00000000-0004-0000-0000-000073000000}"/>
    <hyperlink ref="K152" r:id="rId117" xr:uid="{00000000-0004-0000-0000-000074000000}"/>
    <hyperlink ref="K153" r:id="rId118" xr:uid="{00000000-0004-0000-0000-000075000000}"/>
    <hyperlink ref="K154" r:id="rId119" xr:uid="{00000000-0004-0000-0000-000076000000}"/>
    <hyperlink ref="K156" r:id="rId120" xr:uid="{00000000-0004-0000-0000-000077000000}"/>
    <hyperlink ref="K157" r:id="rId121" xr:uid="{00000000-0004-0000-0000-000078000000}"/>
    <hyperlink ref="K158" r:id="rId122" xr:uid="{00000000-0004-0000-0000-000079000000}"/>
    <hyperlink ref="K159" r:id="rId123" xr:uid="{00000000-0004-0000-0000-00007A000000}"/>
    <hyperlink ref="K160" r:id="rId124" xr:uid="{00000000-0004-0000-0000-00007B000000}"/>
    <hyperlink ref="K161" r:id="rId125" xr:uid="{00000000-0004-0000-0000-00007C000000}"/>
    <hyperlink ref="K162" r:id="rId126" xr:uid="{00000000-0004-0000-0000-00007D000000}"/>
    <hyperlink ref="K163" r:id="rId127" xr:uid="{00000000-0004-0000-0000-00007E000000}"/>
    <hyperlink ref="K164" r:id="rId128" xr:uid="{00000000-0004-0000-0000-00007F000000}"/>
    <hyperlink ref="K165" r:id="rId129" xr:uid="{00000000-0004-0000-0000-000080000000}"/>
    <hyperlink ref="K166" r:id="rId130" xr:uid="{00000000-0004-0000-0000-000081000000}"/>
    <hyperlink ref="K167" r:id="rId131" xr:uid="{00000000-0004-0000-0000-000082000000}"/>
    <hyperlink ref="K168" r:id="rId132" xr:uid="{00000000-0004-0000-0000-000083000000}"/>
    <hyperlink ref="K169" r:id="rId133" xr:uid="{00000000-0004-0000-0000-000084000000}"/>
    <hyperlink ref="K170" r:id="rId134" xr:uid="{00000000-0004-0000-0000-000085000000}"/>
    <hyperlink ref="K171" r:id="rId135" xr:uid="{00000000-0004-0000-0000-000086000000}"/>
    <hyperlink ref="K172" r:id="rId136" xr:uid="{00000000-0004-0000-0000-000087000000}"/>
    <hyperlink ref="K173" r:id="rId137" xr:uid="{00000000-0004-0000-0000-000088000000}"/>
    <hyperlink ref="K174" r:id="rId138" xr:uid="{00000000-0004-0000-0000-000089000000}"/>
    <hyperlink ref="K175" r:id="rId139" xr:uid="{00000000-0004-0000-0000-00008A000000}"/>
    <hyperlink ref="K176" r:id="rId140" xr:uid="{00000000-0004-0000-0000-00008B000000}"/>
    <hyperlink ref="K177" r:id="rId141" xr:uid="{00000000-0004-0000-0000-00008C000000}"/>
    <hyperlink ref="K178" r:id="rId142" xr:uid="{00000000-0004-0000-0000-00008D000000}"/>
    <hyperlink ref="K179" r:id="rId143" xr:uid="{00000000-0004-0000-0000-00008E000000}"/>
    <hyperlink ref="K180" r:id="rId144" xr:uid="{00000000-0004-0000-0000-00008F000000}"/>
    <hyperlink ref="K181" r:id="rId145" xr:uid="{00000000-0004-0000-0000-000090000000}"/>
    <hyperlink ref="K182" r:id="rId146" xr:uid="{00000000-0004-0000-0000-000091000000}"/>
    <hyperlink ref="K183" r:id="rId147" xr:uid="{00000000-0004-0000-0000-000092000000}"/>
    <hyperlink ref="K184" r:id="rId148" xr:uid="{00000000-0004-0000-0000-000093000000}"/>
    <hyperlink ref="K185" r:id="rId149" xr:uid="{00000000-0004-0000-0000-000094000000}"/>
    <hyperlink ref="K186" r:id="rId150" xr:uid="{00000000-0004-0000-0000-000095000000}"/>
    <hyperlink ref="K155" r:id="rId151" xr:uid="{00000000-0004-0000-0000-000096000000}"/>
  </hyperlinks>
  <printOptions horizontalCentered="1"/>
  <pageMargins left="0.31496062992125984" right="0.31496062992125984" top="0.74803149606299213" bottom="0.74803149606299213" header="0.31496062992125984" footer="0.31496062992125984"/>
  <pageSetup scale="45" orientation="portrait" r:id="rId15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P31"/>
  <sheetViews>
    <sheetView topLeftCell="B14" workbookViewId="0">
      <selection activeCell="J6" sqref="J6"/>
    </sheetView>
  </sheetViews>
  <sheetFormatPr defaultColWidth="11.42578125" defaultRowHeight="15" customHeight="1"/>
  <cols>
    <col min="5" max="5" width="25.5703125" customWidth="1"/>
    <col min="7" max="7" width="13.28515625" customWidth="1"/>
    <col min="14" max="14" width="16.140625" customWidth="1"/>
    <col min="15" max="15" width="17" customWidth="1"/>
  </cols>
  <sheetData>
    <row r="2" spans="2:16" ht="23.25" customHeight="1">
      <c r="B2" s="251" t="s">
        <v>1103</v>
      </c>
      <c r="C2" s="252"/>
      <c r="D2" s="252"/>
      <c r="E2" s="252"/>
      <c r="F2" s="252"/>
      <c r="G2" s="252"/>
      <c r="H2" s="252"/>
      <c r="I2" s="252"/>
      <c r="J2" s="252"/>
      <c r="K2" s="252"/>
      <c r="L2" s="252"/>
      <c r="M2" s="252"/>
      <c r="N2" s="252"/>
      <c r="O2" s="252"/>
      <c r="P2" s="252"/>
    </row>
    <row r="3" spans="2:16">
      <c r="B3" s="284" t="s">
        <v>1104</v>
      </c>
      <c r="C3" s="285"/>
      <c r="D3" s="285"/>
      <c r="E3" s="285"/>
      <c r="F3" s="285"/>
      <c r="G3" s="285"/>
      <c r="H3" s="285"/>
      <c r="I3" s="285"/>
      <c r="J3" s="285"/>
      <c r="K3" s="285"/>
      <c r="L3" s="285"/>
      <c r="M3" s="286"/>
      <c r="N3" s="253"/>
      <c r="O3" s="253"/>
      <c r="P3" s="253"/>
    </row>
    <row r="4" spans="2:16" ht="56.25" customHeight="1">
      <c r="B4" s="34" t="s">
        <v>1105</v>
      </c>
      <c r="C4" s="35" t="s">
        <v>1106</v>
      </c>
      <c r="D4" s="35" t="s">
        <v>1107</v>
      </c>
      <c r="E4" s="35" t="s">
        <v>1108</v>
      </c>
      <c r="F4" s="35" t="s">
        <v>1109</v>
      </c>
      <c r="G4" s="35" t="s">
        <v>1110</v>
      </c>
      <c r="H4" s="35" t="s">
        <v>1111</v>
      </c>
      <c r="I4" s="35" t="s">
        <v>1112</v>
      </c>
      <c r="J4" s="35" t="s">
        <v>1113</v>
      </c>
      <c r="K4" s="35" t="s">
        <v>1114</v>
      </c>
      <c r="L4" s="35" t="s">
        <v>1115</v>
      </c>
      <c r="M4" s="35" t="s">
        <v>1116</v>
      </c>
      <c r="N4" s="36" t="s">
        <v>1117</v>
      </c>
      <c r="O4" s="36" t="s">
        <v>1118</v>
      </c>
      <c r="P4" s="36" t="s">
        <v>1119</v>
      </c>
    </row>
    <row r="5" spans="2:16" ht="46.5" customHeight="1">
      <c r="B5" s="37" t="s">
        <v>1120</v>
      </c>
      <c r="C5" s="38" t="s">
        <v>1121</v>
      </c>
      <c r="D5" s="38" t="s">
        <v>1122</v>
      </c>
      <c r="E5" s="38" t="s">
        <v>1123</v>
      </c>
      <c r="F5" s="38" t="s">
        <v>1124</v>
      </c>
      <c r="G5" s="38" t="s">
        <v>1125</v>
      </c>
      <c r="H5" s="38" t="s">
        <v>1126</v>
      </c>
      <c r="I5" s="39" t="s">
        <v>1127</v>
      </c>
      <c r="J5" s="38" t="s">
        <v>1128</v>
      </c>
      <c r="K5" s="38">
        <v>2024</v>
      </c>
      <c r="L5" s="38">
        <v>2025</v>
      </c>
      <c r="M5" s="40" t="s">
        <v>1129</v>
      </c>
      <c r="N5" s="41" t="s">
        <v>1130</v>
      </c>
      <c r="O5" s="42" t="s">
        <v>1131</v>
      </c>
      <c r="P5" s="43" t="s">
        <v>1132</v>
      </c>
    </row>
    <row r="6" spans="2:16" ht="54" customHeight="1">
      <c r="B6" s="45" t="s">
        <v>1133</v>
      </c>
      <c r="C6" s="46" t="s">
        <v>1134</v>
      </c>
      <c r="D6" s="46" t="s">
        <v>1135</v>
      </c>
      <c r="E6" s="46" t="s">
        <v>1136</v>
      </c>
      <c r="F6" s="46" t="s">
        <v>1137</v>
      </c>
      <c r="G6" s="46" t="s">
        <v>1138</v>
      </c>
      <c r="H6" s="46" t="s">
        <v>1139</v>
      </c>
      <c r="I6" s="47" t="s">
        <v>1140</v>
      </c>
      <c r="J6" s="38" t="s">
        <v>1141</v>
      </c>
      <c r="K6" s="38">
        <v>2024</v>
      </c>
      <c r="L6" s="38">
        <v>2025</v>
      </c>
      <c r="M6" s="40" t="s">
        <v>1129</v>
      </c>
      <c r="N6" s="48" t="s">
        <v>1142</v>
      </c>
      <c r="O6" s="44" t="s">
        <v>1143</v>
      </c>
      <c r="P6" s="49" t="s">
        <v>1144</v>
      </c>
    </row>
    <row r="7" spans="2:16">
      <c r="B7" s="50" t="s">
        <v>1145</v>
      </c>
      <c r="C7" s="51" t="s">
        <v>1146</v>
      </c>
      <c r="D7" s="51" t="s">
        <v>1146</v>
      </c>
      <c r="E7" s="62" t="s">
        <v>1146</v>
      </c>
      <c r="F7" s="51" t="s">
        <v>1146</v>
      </c>
      <c r="G7" s="51" t="s">
        <v>1146</v>
      </c>
      <c r="H7" s="51" t="s">
        <v>1146</v>
      </c>
      <c r="I7" s="51" t="s">
        <v>1146</v>
      </c>
      <c r="J7" s="51" t="s">
        <v>1146</v>
      </c>
      <c r="K7" s="51" t="s">
        <v>1146</v>
      </c>
      <c r="L7" s="51" t="s">
        <v>1146</v>
      </c>
      <c r="M7" s="51" t="s">
        <v>1146</v>
      </c>
      <c r="N7" s="59">
        <f>300000+100000</f>
        <v>400000</v>
      </c>
      <c r="O7" s="59">
        <f>90000+30000</f>
        <v>120000</v>
      </c>
      <c r="P7" s="59">
        <f>390000+130000</f>
        <v>520000</v>
      </c>
    </row>
    <row r="8" spans="2:16">
      <c r="B8" s="53"/>
      <c r="C8" s="53"/>
      <c r="D8" s="53"/>
      <c r="E8" s="53"/>
      <c r="F8" s="53"/>
      <c r="G8" s="53"/>
      <c r="H8" s="53"/>
      <c r="I8" s="53"/>
      <c r="J8" s="53"/>
      <c r="K8" s="53"/>
      <c r="L8" s="53"/>
      <c r="M8" s="53"/>
      <c r="N8" s="53"/>
      <c r="O8" s="53"/>
      <c r="P8" s="53"/>
    </row>
    <row r="9" spans="2:16" ht="34.5" customHeight="1">
      <c r="B9" s="251" t="s">
        <v>1147</v>
      </c>
      <c r="C9" s="252"/>
      <c r="D9" s="252"/>
      <c r="E9" s="252"/>
      <c r="F9" s="252"/>
      <c r="G9" s="252"/>
      <c r="H9" s="252"/>
      <c r="I9" s="252"/>
      <c r="J9" s="252"/>
      <c r="K9" s="252"/>
      <c r="L9" s="252"/>
      <c r="M9" s="252"/>
      <c r="N9" s="252"/>
      <c r="O9" s="252"/>
      <c r="P9" s="252"/>
    </row>
    <row r="10" spans="2:16">
      <c r="B10" s="284" t="s">
        <v>1104</v>
      </c>
      <c r="C10" s="285"/>
      <c r="D10" s="285"/>
      <c r="E10" s="285"/>
      <c r="F10" s="285"/>
      <c r="G10" s="285"/>
      <c r="H10" s="285"/>
      <c r="I10" s="285"/>
      <c r="J10" s="285"/>
      <c r="K10" s="285"/>
      <c r="L10" s="285"/>
      <c r="M10" s="286"/>
      <c r="N10" s="253"/>
      <c r="O10" s="253"/>
      <c r="P10" s="253"/>
    </row>
    <row r="11" spans="2:16" ht="38.25">
      <c r="B11" s="34" t="s">
        <v>1148</v>
      </c>
      <c r="C11" s="35" t="s">
        <v>1106</v>
      </c>
      <c r="D11" s="35" t="s">
        <v>1107</v>
      </c>
      <c r="E11" s="35" t="s">
        <v>1108</v>
      </c>
      <c r="F11" s="35" t="s">
        <v>1109</v>
      </c>
      <c r="G11" s="35" t="s">
        <v>1110</v>
      </c>
      <c r="H11" s="35" t="s">
        <v>1111</v>
      </c>
      <c r="I11" s="35" t="s">
        <v>1112</v>
      </c>
      <c r="J11" s="35" t="s">
        <v>1113</v>
      </c>
      <c r="K11" s="35" t="s">
        <v>1114</v>
      </c>
      <c r="L11" s="35" t="s">
        <v>1115</v>
      </c>
      <c r="M11" s="35" t="s">
        <v>1116</v>
      </c>
      <c r="N11" s="36" t="s">
        <v>1117</v>
      </c>
      <c r="O11" s="36" t="s">
        <v>1118</v>
      </c>
      <c r="P11" s="36" t="s">
        <v>1119</v>
      </c>
    </row>
    <row r="12" spans="2:16" ht="58.5" customHeight="1">
      <c r="B12" s="54" t="s">
        <v>1149</v>
      </c>
      <c r="C12" s="55" t="s">
        <v>1150</v>
      </c>
      <c r="D12" s="55" t="s">
        <v>1135</v>
      </c>
      <c r="E12" s="56" t="s">
        <v>1151</v>
      </c>
      <c r="F12" s="56" t="s">
        <v>1152</v>
      </c>
      <c r="G12" s="56" t="s">
        <v>1153</v>
      </c>
      <c r="H12" s="56" t="s">
        <v>1154</v>
      </c>
      <c r="I12" s="57" t="s">
        <v>1155</v>
      </c>
      <c r="J12" s="56" t="s">
        <v>1156</v>
      </c>
      <c r="K12" s="38">
        <v>2024</v>
      </c>
      <c r="L12" s="38">
        <v>2025</v>
      </c>
      <c r="M12" s="38" t="s">
        <v>1157</v>
      </c>
      <c r="N12" s="60" t="s">
        <v>1158</v>
      </c>
      <c r="O12" s="60" t="s">
        <v>1159</v>
      </c>
      <c r="P12" s="60" t="s">
        <v>1160</v>
      </c>
    </row>
    <row r="13" spans="2:16" ht="33.75" customHeight="1">
      <c r="B13" s="37" t="s">
        <v>1161</v>
      </c>
      <c r="C13" s="38" t="s">
        <v>1162</v>
      </c>
      <c r="D13" s="55" t="s">
        <v>1135</v>
      </c>
      <c r="E13" s="56" t="s">
        <v>1163</v>
      </c>
      <c r="F13" s="56" t="s">
        <v>1164</v>
      </c>
      <c r="G13" s="56" t="s">
        <v>1165</v>
      </c>
      <c r="H13" s="56" t="s">
        <v>1166</v>
      </c>
      <c r="I13" s="57" t="s">
        <v>1167</v>
      </c>
      <c r="J13" s="56" t="s">
        <v>1168</v>
      </c>
      <c r="K13" s="38">
        <v>2024</v>
      </c>
      <c r="L13" s="38">
        <v>2025</v>
      </c>
      <c r="M13" s="38" t="s">
        <v>1169</v>
      </c>
      <c r="N13" s="60" t="s">
        <v>1158</v>
      </c>
      <c r="O13" s="60" t="s">
        <v>1159</v>
      </c>
      <c r="P13" s="60" t="s">
        <v>1160</v>
      </c>
    </row>
    <row r="14" spans="2:16" ht="47.25" customHeight="1">
      <c r="B14" s="37" t="s">
        <v>1170</v>
      </c>
      <c r="C14" s="55" t="s">
        <v>1171</v>
      </c>
      <c r="D14" s="55" t="s">
        <v>1172</v>
      </c>
      <c r="E14" s="56" t="s">
        <v>1173</v>
      </c>
      <c r="F14" s="56" t="s">
        <v>1174</v>
      </c>
      <c r="G14" s="56" t="s">
        <v>1175</v>
      </c>
      <c r="H14" s="56" t="s">
        <v>1176</v>
      </c>
      <c r="I14" s="57" t="s">
        <v>1177</v>
      </c>
      <c r="J14" s="56" t="s">
        <v>1178</v>
      </c>
      <c r="K14" s="38">
        <v>2024</v>
      </c>
      <c r="L14" s="38">
        <v>2025</v>
      </c>
      <c r="M14" s="38" t="s">
        <v>1179</v>
      </c>
      <c r="N14" s="60" t="s">
        <v>1180</v>
      </c>
      <c r="O14" s="60" t="s">
        <v>1181</v>
      </c>
      <c r="P14" s="60" t="s">
        <v>1182</v>
      </c>
    </row>
    <row r="15" spans="2:16" ht="39" customHeight="1">
      <c r="B15" s="54" t="s">
        <v>1183</v>
      </c>
      <c r="C15" s="55" t="s">
        <v>1184</v>
      </c>
      <c r="D15" s="55" t="s">
        <v>1185</v>
      </c>
      <c r="E15" s="58" t="s">
        <v>1186</v>
      </c>
      <c r="F15" s="56" t="s">
        <v>1187</v>
      </c>
      <c r="G15" s="56" t="s">
        <v>1188</v>
      </c>
      <c r="H15" s="56" t="s">
        <v>1189</v>
      </c>
      <c r="I15" s="57" t="s">
        <v>1190</v>
      </c>
      <c r="J15" s="56" t="s">
        <v>1191</v>
      </c>
      <c r="K15" s="38">
        <v>2024</v>
      </c>
      <c r="L15" s="38">
        <v>2025</v>
      </c>
      <c r="M15" s="38" t="s">
        <v>1169</v>
      </c>
      <c r="N15" s="60" t="s">
        <v>1158</v>
      </c>
      <c r="O15" s="60" t="s">
        <v>1159</v>
      </c>
      <c r="P15" s="60" t="s">
        <v>1160</v>
      </c>
    </row>
    <row r="16" spans="2:16" ht="44.25" customHeight="1">
      <c r="B16" s="54" t="s">
        <v>1192</v>
      </c>
      <c r="C16" s="55" t="s">
        <v>1193</v>
      </c>
      <c r="D16" s="55" t="s">
        <v>1185</v>
      </c>
      <c r="E16" s="56" t="s">
        <v>1194</v>
      </c>
      <c r="F16" s="56" t="s">
        <v>1195</v>
      </c>
      <c r="G16" s="56" t="s">
        <v>1196</v>
      </c>
      <c r="H16" s="56" t="s">
        <v>1197</v>
      </c>
      <c r="I16" s="56" t="s">
        <v>1198</v>
      </c>
      <c r="J16" s="56" t="s">
        <v>1199</v>
      </c>
      <c r="K16" s="38">
        <v>2024</v>
      </c>
      <c r="L16" s="38">
        <v>2025</v>
      </c>
      <c r="M16" s="38" t="s">
        <v>1169</v>
      </c>
      <c r="N16" s="60" t="s">
        <v>1158</v>
      </c>
      <c r="O16" s="60" t="s">
        <v>1200</v>
      </c>
      <c r="P16" s="60" t="s">
        <v>1201</v>
      </c>
    </row>
    <row r="17" spans="2:16" ht="54" customHeight="1">
      <c r="B17" s="37" t="s">
        <v>1202</v>
      </c>
      <c r="C17" s="55" t="s">
        <v>1203</v>
      </c>
      <c r="D17" s="55" t="s">
        <v>54</v>
      </c>
      <c r="E17" s="56" t="s">
        <v>1204</v>
      </c>
      <c r="F17" s="56" t="s">
        <v>1205</v>
      </c>
      <c r="G17" s="56" t="s">
        <v>1206</v>
      </c>
      <c r="H17" s="56" t="s">
        <v>1207</v>
      </c>
      <c r="I17" s="57" t="s">
        <v>1208</v>
      </c>
      <c r="J17" s="56" t="s">
        <v>1209</v>
      </c>
      <c r="K17" s="38">
        <v>2024</v>
      </c>
      <c r="L17" s="38">
        <v>2025</v>
      </c>
      <c r="M17" s="38" t="s">
        <v>1169</v>
      </c>
      <c r="N17" s="60" t="s">
        <v>1158</v>
      </c>
      <c r="O17" s="60" t="s">
        <v>1210</v>
      </c>
      <c r="P17" s="60" t="s">
        <v>1211</v>
      </c>
    </row>
    <row r="18" spans="2:16">
      <c r="B18" s="50" t="s">
        <v>1145</v>
      </c>
      <c r="C18" s="51" t="s">
        <v>1146</v>
      </c>
      <c r="D18" s="51" t="s">
        <v>1146</v>
      </c>
      <c r="E18" s="51" t="s">
        <v>1146</v>
      </c>
      <c r="F18" s="51" t="s">
        <v>1146</v>
      </c>
      <c r="G18" s="51" t="s">
        <v>1146</v>
      </c>
      <c r="H18" s="51" t="s">
        <v>1146</v>
      </c>
      <c r="I18" s="51" t="s">
        <v>1146</v>
      </c>
      <c r="J18" s="51" t="s">
        <v>1146</v>
      </c>
      <c r="K18" s="51" t="s">
        <v>1146</v>
      </c>
      <c r="L18" s="51" t="s">
        <v>1146</v>
      </c>
      <c r="M18" s="51" t="s">
        <v>1146</v>
      </c>
      <c r="N18" s="59" t="s">
        <v>1212</v>
      </c>
      <c r="O18" s="52" t="s">
        <v>1213</v>
      </c>
      <c r="P18" s="52" t="s">
        <v>1214</v>
      </c>
    </row>
    <row r="19" spans="2:16">
      <c r="B19" s="53"/>
      <c r="C19" s="53"/>
      <c r="D19" s="53"/>
      <c r="E19" s="53"/>
      <c r="F19" s="53"/>
      <c r="G19" s="53"/>
      <c r="H19" s="53"/>
      <c r="I19" s="53"/>
      <c r="J19" s="53"/>
      <c r="K19" s="53"/>
      <c r="L19" s="53"/>
      <c r="M19" s="53"/>
      <c r="N19" s="53"/>
      <c r="O19" s="53"/>
      <c r="P19" s="53"/>
    </row>
    <row r="20" spans="2:16">
      <c r="B20" s="53"/>
      <c r="C20" s="53"/>
      <c r="D20" s="53"/>
      <c r="E20" s="53"/>
      <c r="F20" s="53"/>
      <c r="G20" s="53"/>
      <c r="H20" s="53"/>
      <c r="I20" s="53"/>
      <c r="J20" s="53"/>
      <c r="K20" s="53"/>
      <c r="L20" s="53"/>
      <c r="M20" s="53"/>
      <c r="N20" s="53"/>
      <c r="O20" s="53"/>
      <c r="P20" s="53"/>
    </row>
    <row r="21" spans="2:16" ht="39" customHeight="1">
      <c r="B21" s="251" t="s">
        <v>1215</v>
      </c>
      <c r="C21" s="252"/>
      <c r="D21" s="252"/>
      <c r="E21" s="252"/>
      <c r="F21" s="252"/>
      <c r="G21" s="252"/>
      <c r="H21" s="252"/>
      <c r="I21" s="252"/>
      <c r="J21" s="252"/>
      <c r="K21" s="252"/>
      <c r="L21" s="252"/>
      <c r="M21" s="252"/>
      <c r="N21" s="252"/>
      <c r="O21" s="252"/>
      <c r="P21" s="252"/>
    </row>
    <row r="22" spans="2:16">
      <c r="B22" s="284" t="s">
        <v>1104</v>
      </c>
      <c r="C22" s="285"/>
      <c r="D22" s="285"/>
      <c r="E22" s="285"/>
      <c r="F22" s="285"/>
      <c r="G22" s="285"/>
      <c r="H22" s="285"/>
      <c r="I22" s="285"/>
      <c r="J22" s="285"/>
      <c r="K22" s="285"/>
      <c r="L22" s="285"/>
      <c r="M22" s="286"/>
      <c r="N22" s="253"/>
      <c r="O22" s="253"/>
      <c r="P22" s="253"/>
    </row>
    <row r="23" spans="2:16" ht="51">
      <c r="B23" s="34" t="s">
        <v>1105</v>
      </c>
      <c r="C23" s="35" t="s">
        <v>1106</v>
      </c>
      <c r="D23" s="35" t="s">
        <v>1107</v>
      </c>
      <c r="E23" s="35" t="s">
        <v>1108</v>
      </c>
      <c r="F23" s="35" t="s">
        <v>1109</v>
      </c>
      <c r="G23" s="35" t="s">
        <v>1110</v>
      </c>
      <c r="H23" s="35" t="s">
        <v>1111</v>
      </c>
      <c r="I23" s="35" t="s">
        <v>1112</v>
      </c>
      <c r="J23" s="35" t="s">
        <v>1113</v>
      </c>
      <c r="K23" s="35" t="s">
        <v>1114</v>
      </c>
      <c r="L23" s="35" t="s">
        <v>1115</v>
      </c>
      <c r="M23" s="35" t="s">
        <v>1116</v>
      </c>
      <c r="N23" s="36" t="s">
        <v>1117</v>
      </c>
      <c r="O23" s="36" t="s">
        <v>1118</v>
      </c>
      <c r="P23" s="36" t="s">
        <v>1119</v>
      </c>
    </row>
    <row r="24" spans="2:16" ht="48.75" customHeight="1">
      <c r="B24" s="37" t="s">
        <v>1216</v>
      </c>
      <c r="C24" s="55" t="s">
        <v>1217</v>
      </c>
      <c r="D24" s="55" t="s">
        <v>1218</v>
      </c>
      <c r="E24" s="56" t="s">
        <v>1219</v>
      </c>
      <c r="F24" s="56" t="s">
        <v>1220</v>
      </c>
      <c r="G24" s="56" t="s">
        <v>1221</v>
      </c>
      <c r="H24" s="56" t="s">
        <v>1222</v>
      </c>
      <c r="I24" s="56" t="s">
        <v>1223</v>
      </c>
      <c r="J24" s="56" t="s">
        <v>1224</v>
      </c>
      <c r="K24" s="38">
        <v>2025</v>
      </c>
      <c r="L24" s="38">
        <v>2026</v>
      </c>
      <c r="M24" s="38" t="s">
        <v>1225</v>
      </c>
      <c r="N24" s="56" t="s">
        <v>1158</v>
      </c>
      <c r="O24" s="56" t="s">
        <v>1159</v>
      </c>
      <c r="P24" s="56" t="s">
        <v>1160</v>
      </c>
    </row>
    <row r="25" spans="2:16" ht="112.5" customHeight="1">
      <c r="B25" s="37" t="s">
        <v>1226</v>
      </c>
      <c r="C25" s="55" t="s">
        <v>1227</v>
      </c>
      <c r="D25" s="38" t="s">
        <v>1135</v>
      </c>
      <c r="E25" s="56" t="s">
        <v>1228</v>
      </c>
      <c r="F25" s="56" t="s">
        <v>1229</v>
      </c>
      <c r="G25" s="56" t="s">
        <v>1230</v>
      </c>
      <c r="H25" s="56" t="s">
        <v>1231</v>
      </c>
      <c r="I25" s="57" t="s">
        <v>1232</v>
      </c>
      <c r="J25" s="56" t="s">
        <v>1233</v>
      </c>
      <c r="K25" s="38">
        <v>2025</v>
      </c>
      <c r="L25" s="38">
        <v>2026</v>
      </c>
      <c r="M25" s="38" t="s">
        <v>1225</v>
      </c>
      <c r="N25" s="56" t="s">
        <v>1158</v>
      </c>
      <c r="O25" s="56" t="s">
        <v>1159</v>
      </c>
      <c r="P25" s="56" t="s">
        <v>1160</v>
      </c>
    </row>
    <row r="26" spans="2:16" ht="67.5" customHeight="1">
      <c r="B26" s="37" t="s">
        <v>1234</v>
      </c>
      <c r="C26" s="55" t="s">
        <v>1235</v>
      </c>
      <c r="D26" s="55" t="s">
        <v>1172</v>
      </c>
      <c r="E26" s="56" t="s">
        <v>1236</v>
      </c>
      <c r="F26" s="56" t="s">
        <v>1237</v>
      </c>
      <c r="G26" s="56" t="s">
        <v>1238</v>
      </c>
      <c r="H26" s="56" t="s">
        <v>1239</v>
      </c>
      <c r="I26" s="57" t="s">
        <v>1240</v>
      </c>
      <c r="J26" s="56" t="s">
        <v>1241</v>
      </c>
      <c r="K26" s="38">
        <v>2025</v>
      </c>
      <c r="L26" s="38">
        <v>2026</v>
      </c>
      <c r="M26" s="38" t="s">
        <v>1225</v>
      </c>
      <c r="N26" s="56" t="s">
        <v>1158</v>
      </c>
      <c r="O26" s="60">
        <v>90000</v>
      </c>
      <c r="P26" s="56" t="s">
        <v>1160</v>
      </c>
    </row>
    <row r="27" spans="2:16" ht="63" customHeight="1">
      <c r="B27" s="37" t="s">
        <v>1242</v>
      </c>
      <c r="C27" s="55" t="s">
        <v>1243</v>
      </c>
      <c r="D27" s="61" t="s">
        <v>1244</v>
      </c>
      <c r="E27" s="56" t="s">
        <v>1245</v>
      </c>
      <c r="F27" s="56" t="s">
        <v>1246</v>
      </c>
      <c r="G27" s="56" t="s">
        <v>1247</v>
      </c>
      <c r="H27" s="56" t="s">
        <v>1248</v>
      </c>
      <c r="I27" s="57" t="s">
        <v>1249</v>
      </c>
      <c r="J27" s="56" t="s">
        <v>1250</v>
      </c>
      <c r="K27" s="38">
        <v>2025</v>
      </c>
      <c r="L27" s="38">
        <v>2026</v>
      </c>
      <c r="M27" s="38" t="s">
        <v>1225</v>
      </c>
      <c r="N27" s="56" t="s">
        <v>1158</v>
      </c>
      <c r="O27" s="56" t="s">
        <v>1159</v>
      </c>
      <c r="P27" s="56" t="s">
        <v>1160</v>
      </c>
    </row>
    <row r="28" spans="2:16">
      <c r="B28" s="53"/>
      <c r="C28" s="53"/>
      <c r="D28" s="53"/>
      <c r="E28" s="53"/>
      <c r="F28" s="53"/>
      <c r="G28" s="53"/>
      <c r="H28" s="53"/>
      <c r="I28" s="53"/>
      <c r="J28" s="53"/>
      <c r="K28" s="53"/>
      <c r="L28" s="53"/>
      <c r="M28" s="53"/>
      <c r="N28" s="52" t="s">
        <v>1251</v>
      </c>
      <c r="O28" s="52" t="s">
        <v>1252</v>
      </c>
      <c r="P28" s="52" t="s">
        <v>1253</v>
      </c>
    </row>
    <row r="29" spans="2:16">
      <c r="B29" s="53"/>
      <c r="C29" s="53"/>
      <c r="D29" s="53"/>
      <c r="E29" s="53"/>
      <c r="F29" s="53"/>
      <c r="G29" s="53"/>
      <c r="H29" s="53"/>
      <c r="I29" s="53"/>
      <c r="J29" s="53"/>
      <c r="K29" s="53"/>
      <c r="L29" s="53"/>
      <c r="M29" s="53"/>
      <c r="N29" s="53"/>
      <c r="O29" s="53"/>
      <c r="P29" s="53"/>
    </row>
    <row r="30" spans="2:16">
      <c r="B30" s="53"/>
      <c r="C30" s="53"/>
      <c r="D30" s="53"/>
      <c r="E30" s="53"/>
      <c r="F30" s="53"/>
      <c r="G30" s="53"/>
      <c r="H30" s="53"/>
      <c r="I30" s="53"/>
      <c r="J30" s="53"/>
      <c r="K30" s="53"/>
      <c r="L30" s="53"/>
      <c r="M30" s="53"/>
      <c r="N30" s="52" t="s">
        <v>1254</v>
      </c>
      <c r="O30" s="52" t="s">
        <v>1255</v>
      </c>
      <c r="P30" s="52" t="s">
        <v>1256</v>
      </c>
    </row>
    <row r="31" spans="2:16">
      <c r="B31" s="53"/>
      <c r="C31" s="53"/>
      <c r="D31" s="53"/>
      <c r="E31" s="53"/>
      <c r="F31" s="53"/>
      <c r="G31" s="53"/>
      <c r="H31" s="53"/>
      <c r="I31" s="53"/>
      <c r="J31" s="53"/>
      <c r="K31" s="53"/>
      <c r="L31" s="53"/>
      <c r="M31" s="53"/>
      <c r="N31" s="53"/>
      <c r="O31" s="53"/>
      <c r="P31" s="53"/>
    </row>
  </sheetData>
  <mergeCells count="9">
    <mergeCell ref="B21:P21"/>
    <mergeCell ref="B22:M22"/>
    <mergeCell ref="N22:P22"/>
    <mergeCell ref="B2:P2"/>
    <mergeCell ref="B3:M3"/>
    <mergeCell ref="N3:P3"/>
    <mergeCell ref="B9:P9"/>
    <mergeCell ref="B10:M10"/>
    <mergeCell ref="N10:P10"/>
  </mergeCells>
  <hyperlinks>
    <hyperlink ref="I5" r:id="rId1" xr:uid="{E26B9A95-32DF-4F4A-AC7D-9FA76135B798}"/>
    <hyperlink ref="I6" r:id="rId2" xr:uid="{54711FCF-10F4-40FA-B31A-C2894095B170}"/>
    <hyperlink ref="I12" r:id="rId3" xr:uid="{52270E69-72A4-4BFC-9482-9DC5267ACFA9}"/>
    <hyperlink ref="I13" r:id="rId4" xr:uid="{AA5FCBC4-D203-4621-BA88-6CD7A462B777}"/>
    <hyperlink ref="I14" r:id="rId5" xr:uid="{EAF40BF1-0C8B-4A1D-B266-4F645BB8B527}"/>
    <hyperlink ref="I15" r:id="rId6" xr:uid="{20C2FF0F-615E-43CF-9315-DCC5F2E5B4D4}"/>
    <hyperlink ref="I17" r:id="rId7" xr:uid="{80CC92B6-5C18-40D2-BD2F-A9999633FADA}"/>
    <hyperlink ref="I25" r:id="rId8" xr:uid="{D0E56DFE-F0BC-422D-B016-6EF529D3A41A}"/>
    <hyperlink ref="I26" r:id="rId9" xr:uid="{58B2A1D0-E27C-41BB-A32A-7F10B9CAA949}"/>
    <hyperlink ref="I27" r:id="rId10" xr:uid="{4E8245DC-3C0A-49A7-B420-7A946FAE022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V9"/>
  <sheetViews>
    <sheetView tabSelected="1" topLeftCell="I1" workbookViewId="0">
      <selection activeCell="I6" sqref="I6"/>
    </sheetView>
  </sheetViews>
  <sheetFormatPr defaultColWidth="11.42578125" defaultRowHeight="15"/>
  <cols>
    <col min="1" max="1" width="16" customWidth="1"/>
    <col min="2" max="3" width="28.5703125" customWidth="1"/>
    <col min="4" max="4" width="19.85546875" bestFit="1" customWidth="1"/>
    <col min="5" max="5" width="42.42578125" customWidth="1"/>
    <col min="6" max="6" width="14.7109375" customWidth="1"/>
    <col min="7" max="7" width="24.140625" customWidth="1"/>
    <col min="8" max="8" width="12" bestFit="1" customWidth="1"/>
    <col min="9" max="9" width="23.28515625" bestFit="1" customWidth="1"/>
    <col min="10" max="10" width="32.7109375" bestFit="1" customWidth="1"/>
    <col min="11" max="15" width="23.28515625" customWidth="1"/>
    <col min="16" max="16" width="82.5703125" customWidth="1"/>
    <col min="19" max="19" width="41.28515625" customWidth="1"/>
    <col min="20" max="20" width="14.7109375" bestFit="1" customWidth="1"/>
    <col min="21" max="21" width="13" bestFit="1" customWidth="1"/>
    <col min="22" max="22" width="14.7109375" bestFit="1" customWidth="1"/>
  </cols>
  <sheetData>
    <row r="3" spans="1:22" ht="51">
      <c r="A3" s="34" t="s">
        <v>1105</v>
      </c>
      <c r="B3" s="35" t="s">
        <v>1106</v>
      </c>
      <c r="C3" s="35" t="s">
        <v>1257</v>
      </c>
      <c r="D3" s="35" t="s">
        <v>1107</v>
      </c>
      <c r="E3" s="35" t="s">
        <v>1108</v>
      </c>
      <c r="F3" s="35" t="s">
        <v>1109</v>
      </c>
      <c r="G3" s="35" t="s">
        <v>1258</v>
      </c>
      <c r="H3" s="35" t="s">
        <v>1111</v>
      </c>
      <c r="I3" s="35" t="s">
        <v>1112</v>
      </c>
      <c r="J3" s="35" t="s">
        <v>1259</v>
      </c>
      <c r="K3" s="35" t="s">
        <v>1111</v>
      </c>
      <c r="L3" s="35" t="s">
        <v>1112</v>
      </c>
      <c r="M3" s="35" t="s">
        <v>1260</v>
      </c>
      <c r="N3" s="35" t="s">
        <v>1111</v>
      </c>
      <c r="O3" s="35" t="s">
        <v>1112</v>
      </c>
      <c r="P3" s="35" t="s">
        <v>1113</v>
      </c>
      <c r="Q3" s="35" t="s">
        <v>1114</v>
      </c>
      <c r="R3" s="35" t="s">
        <v>1115</v>
      </c>
      <c r="S3" s="35" t="s">
        <v>1116</v>
      </c>
      <c r="T3" s="36" t="s">
        <v>1117</v>
      </c>
      <c r="U3" s="36" t="s">
        <v>1118</v>
      </c>
      <c r="V3" s="36" t="s">
        <v>1119</v>
      </c>
    </row>
    <row r="4" spans="1:22" ht="60.75">
      <c r="A4" s="157" t="s">
        <v>1261</v>
      </c>
      <c r="B4" s="158" t="s">
        <v>1262</v>
      </c>
      <c r="C4" s="89" t="s">
        <v>1263</v>
      </c>
      <c r="D4" s="157" t="s">
        <v>1264</v>
      </c>
      <c r="E4" s="158" t="s">
        <v>1265</v>
      </c>
      <c r="F4" s="159" t="s">
        <v>545</v>
      </c>
      <c r="G4" s="157" t="s">
        <v>1266</v>
      </c>
      <c r="H4" s="157">
        <v>5576713365</v>
      </c>
      <c r="I4" s="160" t="s">
        <v>1267</v>
      </c>
      <c r="J4" s="157" t="s">
        <v>1268</v>
      </c>
      <c r="K4" s="157">
        <v>5537023767</v>
      </c>
      <c r="L4" s="161" t="s">
        <v>1269</v>
      </c>
      <c r="M4" s="157" t="s">
        <v>1270</v>
      </c>
      <c r="N4" s="157">
        <v>5524223793</v>
      </c>
      <c r="O4" s="161" t="s">
        <v>1271</v>
      </c>
      <c r="P4" s="157" t="s">
        <v>1272</v>
      </c>
      <c r="Q4" s="162">
        <v>45475</v>
      </c>
      <c r="R4" s="157">
        <v>2025</v>
      </c>
      <c r="S4" s="157" t="s">
        <v>1273</v>
      </c>
      <c r="T4" s="163">
        <v>1000000</v>
      </c>
      <c r="U4" s="163">
        <v>300000</v>
      </c>
      <c r="V4" s="163">
        <f>SUM(T4:U4)</f>
        <v>1300000</v>
      </c>
    </row>
    <row r="5" spans="1:22" ht="106.5">
      <c r="A5" s="157" t="s">
        <v>1274</v>
      </c>
      <c r="B5" s="158" t="s">
        <v>1275</v>
      </c>
      <c r="C5" s="89" t="s">
        <v>1276</v>
      </c>
      <c r="D5" t="s">
        <v>1277</v>
      </c>
      <c r="E5" s="158" t="s">
        <v>1278</v>
      </c>
      <c r="F5" s="159" t="s">
        <v>21</v>
      </c>
      <c r="G5" t="s">
        <v>1279</v>
      </c>
      <c r="H5">
        <v>7222260150</v>
      </c>
      <c r="I5" s="229" t="s">
        <v>1280</v>
      </c>
      <c r="J5" t="s">
        <v>1281</v>
      </c>
      <c r="K5">
        <v>7221554763</v>
      </c>
      <c r="L5" s="228" t="s">
        <v>1282</v>
      </c>
      <c r="M5" t="s">
        <v>1283</v>
      </c>
      <c r="N5">
        <v>7222151722</v>
      </c>
      <c r="O5" s="164" t="s">
        <v>1284</v>
      </c>
      <c r="P5" s="157" t="s">
        <v>1285</v>
      </c>
      <c r="Q5" s="165">
        <v>45475</v>
      </c>
      <c r="R5">
        <v>2025</v>
      </c>
      <c r="S5" s="157" t="s">
        <v>1286</v>
      </c>
      <c r="T5" s="163">
        <v>1000000</v>
      </c>
      <c r="U5" s="163">
        <v>300000</v>
      </c>
      <c r="V5" s="163">
        <f>SUM(T5:U5)</f>
        <v>1300000</v>
      </c>
    </row>
    <row r="6" spans="1:22" ht="137.25">
      <c r="A6" s="157" t="s">
        <v>1287</v>
      </c>
      <c r="B6" s="158" t="s">
        <v>1288</v>
      </c>
      <c r="C6" s="89" t="s">
        <v>1276</v>
      </c>
      <c r="D6" s="157" t="s">
        <v>1264</v>
      </c>
      <c r="E6" s="158" t="s">
        <v>1289</v>
      </c>
      <c r="F6" s="159" t="s">
        <v>1290</v>
      </c>
      <c r="G6" t="s">
        <v>1291</v>
      </c>
      <c r="H6" t="s">
        <v>1292</v>
      </c>
      <c r="I6" s="164" t="s">
        <v>1293</v>
      </c>
      <c r="J6" t="s">
        <v>1294</v>
      </c>
      <c r="K6">
        <v>6871220486</v>
      </c>
      <c r="L6" s="164" t="s">
        <v>1295</v>
      </c>
      <c r="M6" t="s">
        <v>1296</v>
      </c>
      <c r="N6">
        <v>5543773725</v>
      </c>
      <c r="O6" s="164" t="s">
        <v>1297</v>
      </c>
      <c r="P6" s="157" t="s">
        <v>1298</v>
      </c>
      <c r="Q6" s="165">
        <v>45475</v>
      </c>
      <c r="R6">
        <v>2025</v>
      </c>
      <c r="S6" s="157" t="s">
        <v>1299</v>
      </c>
      <c r="T6" s="163">
        <v>1000000</v>
      </c>
      <c r="U6" s="163">
        <v>553098</v>
      </c>
      <c r="V6" s="163">
        <f>SUM(T6:U6)</f>
        <v>1553098</v>
      </c>
    </row>
    <row r="7" spans="1:22" ht="76.5">
      <c r="A7" s="157" t="s">
        <v>1300</v>
      </c>
      <c r="B7" s="158" t="s">
        <v>1301</v>
      </c>
      <c r="C7" s="89" t="s">
        <v>1302</v>
      </c>
      <c r="D7" t="s">
        <v>605</v>
      </c>
      <c r="E7" s="158" t="s">
        <v>1303</v>
      </c>
      <c r="F7" s="159" t="s">
        <v>617</v>
      </c>
      <c r="G7" t="s">
        <v>1304</v>
      </c>
      <c r="H7">
        <v>7226223890</v>
      </c>
      <c r="I7" s="164" t="s">
        <v>1305</v>
      </c>
      <c r="J7" t="s">
        <v>1304</v>
      </c>
      <c r="K7">
        <v>7226223890</v>
      </c>
      <c r="L7" s="164" t="s">
        <v>1305</v>
      </c>
      <c r="M7" t="s">
        <v>1306</v>
      </c>
      <c r="N7">
        <v>7228456416</v>
      </c>
      <c r="O7" s="164" t="s">
        <v>1307</v>
      </c>
      <c r="P7" s="157" t="s">
        <v>1308</v>
      </c>
      <c r="Q7" s="165">
        <v>45475</v>
      </c>
      <c r="R7">
        <v>2025</v>
      </c>
      <c r="S7" s="157" t="s">
        <v>1309</v>
      </c>
      <c r="T7" s="163">
        <v>1000000</v>
      </c>
      <c r="U7" s="163">
        <v>300000</v>
      </c>
      <c r="V7" s="163">
        <f>SUM(T7:U7)</f>
        <v>1300000</v>
      </c>
    </row>
    <row r="8" spans="1:22" ht="32.25">
      <c r="B8" s="158" t="s">
        <v>1310</v>
      </c>
      <c r="C8" s="89"/>
      <c r="E8" s="158" t="s">
        <v>1311</v>
      </c>
      <c r="F8" s="159" t="s">
        <v>653</v>
      </c>
    </row>
    <row r="9" spans="1:22">
      <c r="B9" s="158" t="s">
        <v>1312</v>
      </c>
      <c r="C9" s="89"/>
      <c r="E9" s="158" t="s">
        <v>1313</v>
      </c>
      <c r="F9" s="159" t="s">
        <v>1314</v>
      </c>
    </row>
  </sheetData>
  <hyperlinks>
    <hyperlink ref="I4" r:id="rId1" xr:uid="{C5460A9D-0752-4A6B-A8B3-CEA116DE604B}"/>
    <hyperlink ref="L4" r:id="rId2" xr:uid="{1F5C46F2-15FA-4768-9E39-7E635981905A}"/>
    <hyperlink ref="O4" r:id="rId3" xr:uid="{99D80BC4-04CC-4B83-970F-63DEB714190A}"/>
    <hyperlink ref="I5" r:id="rId4" xr:uid="{72B1C847-20D3-4B10-943B-90C3CFFEE0B3}"/>
    <hyperlink ref="L5" r:id="rId5" xr:uid="{D234771D-623C-41C2-8431-BAB80780318D}"/>
    <hyperlink ref="O5" r:id="rId6" xr:uid="{6D387E42-3112-41E5-935A-EE66783E397B}"/>
    <hyperlink ref="L6" r:id="rId7" xr:uid="{A5BC3445-B648-42D8-BC83-64ED906AA5E1}"/>
    <hyperlink ref="O6" r:id="rId8" xr:uid="{08B3FDD8-6865-439C-9301-A435E8B91157}"/>
    <hyperlink ref="I7" r:id="rId9" xr:uid="{B589594F-404A-46E1-86FB-B5264B5B7D49}"/>
    <hyperlink ref="L7" r:id="rId10" xr:uid="{0C9EE59D-C069-483F-9D84-72DC9B7151EA}"/>
    <hyperlink ref="O7" r:id="rId11" xr:uid="{1DA11E9C-D32D-409C-BAD0-E6F5CAA48171}"/>
    <hyperlink ref="I6" r:id="rId12" xr:uid="{0E377D81-40D6-435C-84ED-1164724CC22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58ED1"/>
  </sheetPr>
  <dimension ref="A2:X32"/>
  <sheetViews>
    <sheetView topLeftCell="A24" workbookViewId="0">
      <selection activeCell="E9" sqref="E9:E10"/>
    </sheetView>
  </sheetViews>
  <sheetFormatPr defaultColWidth="11.42578125" defaultRowHeight="15" customHeight="1"/>
  <cols>
    <col min="1" max="1" width="3.7109375" style="166" customWidth="1"/>
    <col min="2" max="2" width="6.42578125" style="166" customWidth="1"/>
    <col min="3" max="3" width="19.42578125" style="166" customWidth="1"/>
    <col min="4" max="4" width="24.140625" style="166" customWidth="1"/>
    <col min="5" max="5" width="57.42578125" style="167" customWidth="1"/>
    <col min="6" max="6" width="17.42578125" style="166" customWidth="1"/>
    <col min="7" max="7" width="17.5703125" style="166" customWidth="1"/>
    <col min="8" max="8" width="36.5703125" style="166" bestFit="1" customWidth="1"/>
    <col min="9" max="9" width="16.85546875" style="166" customWidth="1"/>
    <col min="10" max="11" width="16" style="166" customWidth="1"/>
    <col min="12" max="13" width="14.85546875" style="166" customWidth="1"/>
    <col min="14" max="14" width="13.7109375" style="166" customWidth="1"/>
    <col min="15" max="15" width="18.140625" style="166" customWidth="1"/>
    <col min="16" max="16" width="17.140625" style="166" customWidth="1"/>
    <col min="17" max="17" width="17.28515625" style="166" customWidth="1"/>
    <col min="18" max="18" width="17.42578125" style="166" customWidth="1"/>
    <col min="19" max="19" width="20.28515625" style="166" customWidth="1"/>
    <col min="20" max="20" width="18.28515625" style="166" customWidth="1"/>
    <col min="21" max="21" width="22" style="166" bestFit="1" customWidth="1"/>
    <col min="22" max="22" width="62.140625" style="166" customWidth="1"/>
    <col min="23" max="16384" width="11.42578125" style="166"/>
  </cols>
  <sheetData>
    <row r="2" spans="2:22" ht="25.5">
      <c r="B2" s="258" t="s">
        <v>1315</v>
      </c>
      <c r="C2" s="258"/>
      <c r="D2" s="258"/>
      <c r="E2" s="258"/>
      <c r="F2" s="258"/>
      <c r="G2" s="258"/>
      <c r="H2" s="258"/>
      <c r="I2" s="258"/>
      <c r="J2" s="258"/>
      <c r="K2" s="258"/>
      <c r="L2" s="258"/>
      <c r="M2" s="258"/>
      <c r="N2" s="258"/>
      <c r="O2" s="258"/>
      <c r="P2" s="258"/>
      <c r="Q2" s="258"/>
      <c r="R2" s="258"/>
      <c r="S2" s="258"/>
      <c r="T2" s="258"/>
      <c r="U2" s="258"/>
      <c r="V2" s="258"/>
    </row>
    <row r="3" spans="2:22" ht="16.5"/>
    <row r="4" spans="2:22" ht="22.5">
      <c r="B4" s="259" t="s">
        <v>772</v>
      </c>
      <c r="C4" s="259"/>
      <c r="D4" s="259"/>
      <c r="E4" s="259"/>
      <c r="F4" s="259"/>
      <c r="G4" s="259"/>
      <c r="H4" s="259"/>
      <c r="I4" s="259"/>
      <c r="J4" s="259"/>
      <c r="K4" s="259"/>
      <c r="L4" s="259"/>
      <c r="M4" s="259"/>
      <c r="N4" s="259"/>
      <c r="O4" s="259"/>
      <c r="P4" s="259"/>
      <c r="Q4" s="259"/>
      <c r="R4" s="259"/>
      <c r="S4" s="259"/>
      <c r="T4" s="259"/>
      <c r="U4" s="259"/>
      <c r="V4" s="259"/>
    </row>
    <row r="5" spans="2:22" ht="16.5"/>
    <row r="6" spans="2:22" ht="36.75" customHeight="1">
      <c r="B6" s="255" t="s">
        <v>1316</v>
      </c>
      <c r="C6" s="256"/>
      <c r="D6" s="256"/>
      <c r="E6" s="256"/>
      <c r="F6" s="256"/>
      <c r="G6" s="256"/>
      <c r="H6" s="257"/>
      <c r="I6" s="261" t="s">
        <v>1317</v>
      </c>
      <c r="J6" s="256"/>
      <c r="K6" s="257"/>
      <c r="L6" s="261" t="s">
        <v>1318</v>
      </c>
      <c r="M6" s="256"/>
      <c r="N6" s="256"/>
      <c r="O6" s="257"/>
      <c r="P6" s="261" t="s">
        <v>1319</v>
      </c>
      <c r="Q6" s="256"/>
      <c r="R6" s="256"/>
      <c r="S6" s="256"/>
      <c r="T6" s="278"/>
      <c r="U6" s="255" t="s">
        <v>1320</v>
      </c>
      <c r="V6" s="257"/>
    </row>
    <row r="7" spans="2:22" ht="33.75">
      <c r="B7" s="204" t="s">
        <v>1321</v>
      </c>
      <c r="C7" s="205" t="s">
        <v>1</v>
      </c>
      <c r="D7" s="205" t="s">
        <v>2</v>
      </c>
      <c r="E7" s="205" t="s">
        <v>4</v>
      </c>
      <c r="F7" s="205" t="s">
        <v>1322</v>
      </c>
      <c r="G7" s="205" t="s">
        <v>1323</v>
      </c>
      <c r="H7" s="206" t="s">
        <v>1324</v>
      </c>
      <c r="I7" s="186" t="s">
        <v>1325</v>
      </c>
      <c r="J7" s="207" t="s">
        <v>1326</v>
      </c>
      <c r="K7" s="208" t="s">
        <v>1327</v>
      </c>
      <c r="L7" s="186" t="s">
        <v>1328</v>
      </c>
      <c r="M7" s="177" t="s">
        <v>1329</v>
      </c>
      <c r="N7" s="177" t="s">
        <v>1318</v>
      </c>
      <c r="O7" s="179" t="s">
        <v>1330</v>
      </c>
      <c r="P7" s="186" t="s">
        <v>1331</v>
      </c>
      <c r="Q7" s="177" t="s">
        <v>6</v>
      </c>
      <c r="R7" s="177" t="s">
        <v>1332</v>
      </c>
      <c r="S7" s="177" t="s">
        <v>1333</v>
      </c>
      <c r="T7" s="211" t="s">
        <v>10</v>
      </c>
      <c r="U7" s="218" t="s">
        <v>12</v>
      </c>
      <c r="V7" s="216" t="s">
        <v>1334</v>
      </c>
    </row>
    <row r="8" spans="2:22" s="168" customFormat="1" ht="103.5">
      <c r="B8" s="191">
        <v>1</v>
      </c>
      <c r="C8" s="187" t="s">
        <v>1335</v>
      </c>
      <c r="D8" s="187" t="s">
        <v>1336</v>
      </c>
      <c r="E8" s="187" t="s">
        <v>1337</v>
      </c>
      <c r="F8" s="187" t="s">
        <v>1338</v>
      </c>
      <c r="G8" s="187" t="s">
        <v>1339</v>
      </c>
      <c r="H8" s="199" t="s">
        <v>1340</v>
      </c>
      <c r="I8" s="196" t="s">
        <v>1341</v>
      </c>
      <c r="J8" s="169" t="s">
        <v>1342</v>
      </c>
      <c r="K8" s="198" t="s">
        <v>1343</v>
      </c>
      <c r="L8" s="178" t="s">
        <v>1344</v>
      </c>
      <c r="M8" s="173">
        <v>45603</v>
      </c>
      <c r="N8" s="173">
        <v>46052</v>
      </c>
      <c r="O8" s="190" t="s">
        <v>1345</v>
      </c>
      <c r="P8" s="196" t="s">
        <v>1346</v>
      </c>
      <c r="Q8" s="169" t="s">
        <v>1347</v>
      </c>
      <c r="R8" s="170" t="s">
        <v>1348</v>
      </c>
      <c r="S8" s="176" t="s">
        <v>1349</v>
      </c>
      <c r="T8" s="172">
        <v>5613003358</v>
      </c>
      <c r="U8" s="189" t="s">
        <v>1350</v>
      </c>
      <c r="V8" s="203" t="s">
        <v>1351</v>
      </c>
    </row>
    <row r="9" spans="2:22" s="168" customFormat="1" ht="62.25" customHeight="1">
      <c r="B9" s="269">
        <v>2</v>
      </c>
      <c r="C9" s="254" t="s">
        <v>1352</v>
      </c>
      <c r="D9" s="254" t="s">
        <v>1353</v>
      </c>
      <c r="E9" s="254" t="s">
        <v>1354</v>
      </c>
      <c r="F9" s="254" t="s">
        <v>1355</v>
      </c>
      <c r="G9" s="254" t="s">
        <v>1356</v>
      </c>
      <c r="H9" s="203" t="s">
        <v>1357</v>
      </c>
      <c r="I9" s="271" t="s">
        <v>1358</v>
      </c>
      <c r="J9" s="263" t="s">
        <v>1359</v>
      </c>
      <c r="K9" s="272" t="s">
        <v>1360</v>
      </c>
      <c r="L9" s="271" t="s">
        <v>1344</v>
      </c>
      <c r="M9" s="280">
        <v>45603</v>
      </c>
      <c r="N9" s="280">
        <v>46052</v>
      </c>
      <c r="O9" s="274" t="s">
        <v>1345</v>
      </c>
      <c r="P9" s="260" t="s">
        <v>1361</v>
      </c>
      <c r="Q9" s="254" t="s">
        <v>617</v>
      </c>
      <c r="R9" s="262" t="s">
        <v>1362</v>
      </c>
      <c r="S9" s="264" t="s">
        <v>1363</v>
      </c>
      <c r="T9" s="265" t="s">
        <v>1364</v>
      </c>
      <c r="U9" s="267" t="s">
        <v>1350</v>
      </c>
      <c r="V9" s="275" t="s">
        <v>1365</v>
      </c>
    </row>
    <row r="10" spans="2:22" s="168" customFormat="1" ht="52.5" customHeight="1">
      <c r="B10" s="269"/>
      <c r="C10" s="254"/>
      <c r="D10" s="254"/>
      <c r="E10" s="254"/>
      <c r="F10" s="254"/>
      <c r="G10" s="254"/>
      <c r="H10" s="192" t="s">
        <v>1366</v>
      </c>
      <c r="I10" s="271"/>
      <c r="J10" s="263"/>
      <c r="K10" s="273"/>
      <c r="L10" s="279"/>
      <c r="M10" s="281"/>
      <c r="N10" s="263"/>
      <c r="O10" s="274"/>
      <c r="P10" s="260"/>
      <c r="Q10" s="254"/>
      <c r="R10" s="263"/>
      <c r="S10" s="264"/>
      <c r="T10" s="266"/>
      <c r="U10" s="268"/>
      <c r="V10" s="272"/>
    </row>
    <row r="11" spans="2:22" s="168" customFormat="1" ht="35.25" customHeight="1">
      <c r="B11" s="269">
        <v>3</v>
      </c>
      <c r="C11" s="254" t="s">
        <v>1367</v>
      </c>
      <c r="D11" s="254" t="s">
        <v>1368</v>
      </c>
      <c r="E11" s="254" t="s">
        <v>1369</v>
      </c>
      <c r="F11" s="254" t="s">
        <v>20</v>
      </c>
      <c r="G11" s="254" t="s">
        <v>1356</v>
      </c>
      <c r="H11" s="203" t="s">
        <v>1370</v>
      </c>
      <c r="I11" s="271" t="s">
        <v>1371</v>
      </c>
      <c r="J11" s="266" t="s">
        <v>1372</v>
      </c>
      <c r="K11" s="272" t="s">
        <v>1373</v>
      </c>
      <c r="L11" s="271" t="s">
        <v>1344</v>
      </c>
      <c r="M11" s="280">
        <v>45603</v>
      </c>
      <c r="N11" s="270">
        <v>46052</v>
      </c>
      <c r="O11" s="274" t="s">
        <v>1345</v>
      </c>
      <c r="P11" s="260" t="s">
        <v>1374</v>
      </c>
      <c r="Q11" s="254" t="s">
        <v>21</v>
      </c>
      <c r="R11" s="262" t="s">
        <v>1375</v>
      </c>
      <c r="S11" s="264" t="s">
        <v>1376</v>
      </c>
      <c r="T11" s="266" t="s">
        <v>1377</v>
      </c>
      <c r="U11" s="269" t="s">
        <v>1350</v>
      </c>
      <c r="V11" s="276" t="s">
        <v>1378</v>
      </c>
    </row>
    <row r="12" spans="2:22" s="168" customFormat="1" ht="35.25" customHeight="1">
      <c r="B12" s="269"/>
      <c r="C12" s="254"/>
      <c r="D12" s="254"/>
      <c r="E12" s="254"/>
      <c r="F12" s="254"/>
      <c r="G12" s="254"/>
      <c r="H12" s="181" t="s">
        <v>1379</v>
      </c>
      <c r="I12" s="271"/>
      <c r="J12" s="266"/>
      <c r="K12" s="272"/>
      <c r="L12" s="271"/>
      <c r="M12" s="263"/>
      <c r="N12" s="271"/>
      <c r="O12" s="274"/>
      <c r="P12" s="260"/>
      <c r="Q12" s="254"/>
      <c r="R12" s="263"/>
      <c r="S12" s="264"/>
      <c r="T12" s="266"/>
      <c r="U12" s="269"/>
      <c r="V12" s="277"/>
    </row>
    <row r="13" spans="2:22" s="168" customFormat="1" ht="35.25" customHeight="1">
      <c r="B13" s="269"/>
      <c r="C13" s="254"/>
      <c r="D13" s="254"/>
      <c r="E13" s="254"/>
      <c r="F13" s="254"/>
      <c r="G13" s="254"/>
      <c r="H13" s="181" t="s">
        <v>1380</v>
      </c>
      <c r="I13" s="271"/>
      <c r="J13" s="266"/>
      <c r="K13" s="272"/>
      <c r="L13" s="271"/>
      <c r="M13" s="263"/>
      <c r="N13" s="271"/>
      <c r="O13" s="274"/>
      <c r="P13" s="260"/>
      <c r="Q13" s="254"/>
      <c r="R13" s="263"/>
      <c r="S13" s="264"/>
      <c r="T13" s="266"/>
      <c r="U13" s="269"/>
      <c r="V13" s="277"/>
    </row>
    <row r="14" spans="2:22" s="168" customFormat="1" ht="102.75" customHeight="1">
      <c r="B14" s="189">
        <v>4</v>
      </c>
      <c r="C14" s="169" t="s">
        <v>1381</v>
      </c>
      <c r="D14" s="169" t="s">
        <v>1382</v>
      </c>
      <c r="E14" s="169" t="s">
        <v>1383</v>
      </c>
      <c r="F14" s="169" t="s">
        <v>1384</v>
      </c>
      <c r="G14" s="169" t="s">
        <v>1356</v>
      </c>
      <c r="H14" s="198" t="s">
        <v>1385</v>
      </c>
      <c r="I14" s="196" t="s">
        <v>1386</v>
      </c>
      <c r="J14" s="169" t="s">
        <v>1387</v>
      </c>
      <c r="K14" s="199" t="s">
        <v>1388</v>
      </c>
      <c r="L14" s="201" t="s">
        <v>1389</v>
      </c>
      <c r="M14" s="188">
        <v>45603</v>
      </c>
      <c r="N14" s="173">
        <v>46052</v>
      </c>
      <c r="O14" s="192" t="s">
        <v>1345</v>
      </c>
      <c r="P14" s="196" t="s">
        <v>1390</v>
      </c>
      <c r="Q14" s="169" t="s">
        <v>617</v>
      </c>
      <c r="R14" s="170" t="s">
        <v>1391</v>
      </c>
      <c r="S14" s="175" t="s">
        <v>1392</v>
      </c>
      <c r="T14" s="172" t="s">
        <v>1393</v>
      </c>
      <c r="U14" s="191" t="s">
        <v>1394</v>
      </c>
      <c r="V14" s="209" t="s">
        <v>1395</v>
      </c>
    </row>
    <row r="15" spans="2:22" s="168" customFormat="1" ht="58.5">
      <c r="B15" s="189">
        <v>5</v>
      </c>
      <c r="C15" s="169" t="s">
        <v>1396</v>
      </c>
      <c r="D15" s="169" t="s">
        <v>1397</v>
      </c>
      <c r="E15" s="169" t="s">
        <v>1398</v>
      </c>
      <c r="F15" s="169" t="s">
        <v>605</v>
      </c>
      <c r="G15" s="169" t="s">
        <v>1356</v>
      </c>
      <c r="H15" s="198" t="s">
        <v>1399</v>
      </c>
      <c r="I15" s="196" t="s">
        <v>1400</v>
      </c>
      <c r="J15" s="169" t="s">
        <v>1401</v>
      </c>
      <c r="K15" s="198" t="s">
        <v>1402</v>
      </c>
      <c r="L15" s="178" t="s">
        <v>1344</v>
      </c>
      <c r="M15" s="173">
        <v>45603</v>
      </c>
      <c r="N15" s="173">
        <v>46052</v>
      </c>
      <c r="O15" s="192" t="s">
        <v>1345</v>
      </c>
      <c r="P15" s="196" t="s">
        <v>1403</v>
      </c>
      <c r="Q15" s="169" t="s">
        <v>21</v>
      </c>
      <c r="R15" s="170" t="s">
        <v>1404</v>
      </c>
      <c r="S15" s="175" t="s">
        <v>1405</v>
      </c>
      <c r="T15" s="172" t="s">
        <v>1406</v>
      </c>
      <c r="U15" s="191" t="s">
        <v>1394</v>
      </c>
      <c r="V15" s="209" t="s">
        <v>1407</v>
      </c>
    </row>
    <row r="16" spans="2:22" s="168" customFormat="1" ht="93.75">
      <c r="B16" s="193">
        <v>6</v>
      </c>
      <c r="C16" s="183" t="s">
        <v>1408</v>
      </c>
      <c r="D16" s="183" t="s">
        <v>1409</v>
      </c>
      <c r="E16" s="183" t="s">
        <v>1410</v>
      </c>
      <c r="F16" s="183" t="s">
        <v>1411</v>
      </c>
      <c r="G16" s="183" t="s">
        <v>1356</v>
      </c>
      <c r="H16" s="200" t="s">
        <v>1412</v>
      </c>
      <c r="I16" s="197" t="s">
        <v>1341</v>
      </c>
      <c r="J16" s="183" t="s">
        <v>1342</v>
      </c>
      <c r="K16" s="200" t="s">
        <v>1343</v>
      </c>
      <c r="L16" s="202" t="s">
        <v>1344</v>
      </c>
      <c r="M16" s="194">
        <v>45603</v>
      </c>
      <c r="N16" s="194">
        <v>46052</v>
      </c>
      <c r="O16" s="195" t="s">
        <v>1345</v>
      </c>
      <c r="P16" s="197" t="s">
        <v>1413</v>
      </c>
      <c r="Q16" s="183" t="s">
        <v>21</v>
      </c>
      <c r="R16" s="184" t="s">
        <v>1414</v>
      </c>
      <c r="S16" s="185" t="s">
        <v>1415</v>
      </c>
      <c r="T16" s="212">
        <v>7223947279</v>
      </c>
      <c r="U16" s="217" t="s">
        <v>1394</v>
      </c>
      <c r="V16" s="210" t="s">
        <v>1416</v>
      </c>
    </row>
    <row r="19" spans="1:24" ht="31.5" customHeight="1">
      <c r="B19" s="259" t="s">
        <v>900</v>
      </c>
      <c r="C19" s="259"/>
      <c r="D19" s="259"/>
      <c r="E19" s="259"/>
      <c r="F19" s="259"/>
      <c r="G19" s="259"/>
      <c r="H19" s="259"/>
      <c r="I19" s="259"/>
      <c r="J19" s="259"/>
      <c r="K19" s="259"/>
      <c r="L19" s="259"/>
      <c r="M19" s="259"/>
      <c r="N19" s="259"/>
      <c r="O19" s="259"/>
      <c r="P19" s="259"/>
      <c r="Q19" s="259"/>
      <c r="R19" s="259"/>
      <c r="S19" s="259"/>
      <c r="T19" s="259"/>
      <c r="U19" s="259"/>
      <c r="V19" s="259"/>
    </row>
    <row r="21" spans="1:24" ht="24" customHeight="1">
      <c r="B21" s="255" t="s">
        <v>1316</v>
      </c>
      <c r="C21" s="256"/>
      <c r="D21" s="256"/>
      <c r="E21" s="256"/>
      <c r="F21" s="256"/>
      <c r="G21" s="256"/>
      <c r="H21" s="278"/>
      <c r="I21" s="255" t="s">
        <v>1317</v>
      </c>
      <c r="J21" s="256"/>
      <c r="K21" s="278"/>
      <c r="L21" s="255" t="s">
        <v>1318</v>
      </c>
      <c r="M21" s="256"/>
      <c r="N21" s="256"/>
      <c r="O21" s="278"/>
      <c r="P21" s="255" t="s">
        <v>1319</v>
      </c>
      <c r="Q21" s="256"/>
      <c r="R21" s="256"/>
      <c r="S21" s="256"/>
      <c r="T21" s="278"/>
      <c r="U21" s="255" t="s">
        <v>1320</v>
      </c>
      <c r="V21" s="257"/>
    </row>
    <row r="22" spans="1:24" ht="46.5" customHeight="1">
      <c r="B22" s="213" t="s">
        <v>1321</v>
      </c>
      <c r="C22" s="214" t="s">
        <v>1</v>
      </c>
      <c r="D22" s="214" t="s">
        <v>2</v>
      </c>
      <c r="E22" s="214" t="s">
        <v>4</v>
      </c>
      <c r="F22" s="214" t="s">
        <v>1322</v>
      </c>
      <c r="G22" s="214" t="s">
        <v>1323</v>
      </c>
      <c r="H22" s="220" t="s">
        <v>1324</v>
      </c>
      <c r="I22" s="218" t="s">
        <v>1325</v>
      </c>
      <c r="J22" s="219" t="s">
        <v>1326</v>
      </c>
      <c r="K22" s="225" t="s">
        <v>1327</v>
      </c>
      <c r="L22" s="218" t="s">
        <v>1328</v>
      </c>
      <c r="M22" s="214" t="s">
        <v>1329</v>
      </c>
      <c r="N22" s="214" t="s">
        <v>1318</v>
      </c>
      <c r="O22" s="220" t="s">
        <v>1330</v>
      </c>
      <c r="P22" s="218" t="s">
        <v>1331</v>
      </c>
      <c r="Q22" s="214" t="s">
        <v>6</v>
      </c>
      <c r="R22" s="214" t="s">
        <v>1332</v>
      </c>
      <c r="S22" s="214" t="s">
        <v>1333</v>
      </c>
      <c r="T22" s="220" t="s">
        <v>10</v>
      </c>
      <c r="U22" s="218" t="s">
        <v>12</v>
      </c>
      <c r="V22" s="216" t="s">
        <v>1334</v>
      </c>
    </row>
    <row r="23" spans="1:24" s="167" customFormat="1" ht="81.75" customHeight="1">
      <c r="B23" s="221">
        <v>1</v>
      </c>
      <c r="C23" s="169" t="s">
        <v>1417</v>
      </c>
      <c r="D23" s="169" t="s">
        <v>1288</v>
      </c>
      <c r="E23" s="169" t="s">
        <v>1418</v>
      </c>
      <c r="F23" s="169" t="s">
        <v>1244</v>
      </c>
      <c r="G23" s="169" t="s">
        <v>1419</v>
      </c>
      <c r="H23" s="174" t="s">
        <v>1420</v>
      </c>
      <c r="I23" s="180" t="s">
        <v>1341</v>
      </c>
      <c r="J23" s="169" t="s">
        <v>1342</v>
      </c>
      <c r="K23" s="174" t="s">
        <v>1343</v>
      </c>
      <c r="L23" s="221" t="s">
        <v>1344</v>
      </c>
      <c r="M23" s="215">
        <v>45846</v>
      </c>
      <c r="N23" s="215">
        <v>46262</v>
      </c>
      <c r="O23" s="171" t="s">
        <v>1345</v>
      </c>
      <c r="P23" s="221" t="s">
        <v>1421</v>
      </c>
      <c r="Q23" s="170" t="s">
        <v>1290</v>
      </c>
      <c r="R23" s="170" t="s">
        <v>1422</v>
      </c>
      <c r="S23" s="176" t="s">
        <v>1423</v>
      </c>
      <c r="T23" s="171">
        <v>8110314063</v>
      </c>
      <c r="U23" s="221" t="s">
        <v>1424</v>
      </c>
      <c r="V23" s="203" t="s">
        <v>1425</v>
      </c>
    </row>
    <row r="24" spans="1:24" s="167" customFormat="1" ht="102" customHeight="1">
      <c r="B24" s="222">
        <v>2</v>
      </c>
      <c r="C24" s="183" t="s">
        <v>1426</v>
      </c>
      <c r="D24" s="183" t="s">
        <v>1427</v>
      </c>
      <c r="E24" s="183" t="s">
        <v>1428</v>
      </c>
      <c r="F24" s="183" t="s">
        <v>1429</v>
      </c>
      <c r="G24" s="183" t="s">
        <v>1430</v>
      </c>
      <c r="H24" s="223" t="s">
        <v>1431</v>
      </c>
      <c r="I24" s="182" t="s">
        <v>1432</v>
      </c>
      <c r="J24" s="183" t="s">
        <v>1343</v>
      </c>
      <c r="K24" s="223" t="s">
        <v>1433</v>
      </c>
      <c r="L24" s="222" t="s">
        <v>1344</v>
      </c>
      <c r="M24" s="224">
        <v>45846</v>
      </c>
      <c r="N24" s="224">
        <v>46262</v>
      </c>
      <c r="O24" s="227" t="s">
        <v>1345</v>
      </c>
      <c r="P24" s="222" t="s">
        <v>1434</v>
      </c>
      <c r="Q24" s="184" t="s">
        <v>1347</v>
      </c>
      <c r="R24" s="184" t="s">
        <v>1435</v>
      </c>
      <c r="S24" s="226" t="s">
        <v>1436</v>
      </c>
      <c r="T24" s="227" t="s">
        <v>1437</v>
      </c>
      <c r="U24" s="222" t="s">
        <v>1424</v>
      </c>
      <c r="V24" s="210" t="s">
        <v>1438</v>
      </c>
    </row>
    <row r="27" spans="1:24" ht="42" customHeight="1">
      <c r="B27" s="259" t="s">
        <v>1439</v>
      </c>
      <c r="C27" s="259"/>
      <c r="D27" s="259"/>
      <c r="E27" s="259"/>
      <c r="F27" s="259"/>
      <c r="G27" s="259"/>
      <c r="H27" s="259"/>
      <c r="I27" s="259"/>
      <c r="J27" s="259"/>
      <c r="K27" s="259"/>
      <c r="L27" s="259"/>
      <c r="M27" s="259"/>
      <c r="N27" s="259"/>
      <c r="O27" s="259"/>
      <c r="P27" s="259"/>
      <c r="Q27" s="259"/>
      <c r="R27" s="259"/>
      <c r="S27" s="259"/>
      <c r="T27" s="259"/>
      <c r="U27" s="259"/>
      <c r="V27" s="259"/>
    </row>
    <row r="29" spans="1:24" ht="21" customHeight="1">
      <c r="B29" s="255" t="s">
        <v>1316</v>
      </c>
      <c r="C29" s="256"/>
      <c r="D29" s="256"/>
      <c r="E29" s="256"/>
      <c r="F29" s="256"/>
      <c r="G29" s="256"/>
      <c r="H29" s="278"/>
      <c r="I29" s="255" t="s">
        <v>1317</v>
      </c>
      <c r="J29" s="256"/>
      <c r="K29" s="278"/>
      <c r="L29" s="255" t="s">
        <v>1318</v>
      </c>
      <c r="M29" s="256"/>
      <c r="N29" s="256"/>
      <c r="O29" s="278"/>
      <c r="P29" s="255" t="s">
        <v>1319</v>
      </c>
      <c r="Q29" s="256"/>
      <c r="R29" s="256"/>
      <c r="S29" s="256"/>
      <c r="T29" s="278"/>
      <c r="U29" s="255" t="s">
        <v>1320</v>
      </c>
      <c r="V29" s="257"/>
    </row>
    <row r="30" spans="1:24" ht="33.75" customHeight="1">
      <c r="B30" s="213" t="s">
        <v>1321</v>
      </c>
      <c r="C30" s="214" t="s">
        <v>1</v>
      </c>
      <c r="D30" s="214" t="s">
        <v>2</v>
      </c>
      <c r="E30" s="214" t="s">
        <v>4</v>
      </c>
      <c r="F30" s="214" t="s">
        <v>1322</v>
      </c>
      <c r="G30" s="214" t="s">
        <v>1323</v>
      </c>
      <c r="H30" s="220" t="s">
        <v>1324</v>
      </c>
      <c r="I30" s="218" t="s">
        <v>1325</v>
      </c>
      <c r="J30" s="219" t="s">
        <v>1326</v>
      </c>
      <c r="K30" s="225" t="s">
        <v>1327</v>
      </c>
      <c r="L30" s="218" t="s">
        <v>1328</v>
      </c>
      <c r="M30" s="214" t="s">
        <v>1329</v>
      </c>
      <c r="N30" s="214" t="s">
        <v>1318</v>
      </c>
      <c r="O30" s="220" t="s">
        <v>1330</v>
      </c>
      <c r="P30" s="218" t="s">
        <v>1331</v>
      </c>
      <c r="Q30" s="214" t="s">
        <v>6</v>
      </c>
      <c r="R30" s="214" t="s">
        <v>1332</v>
      </c>
      <c r="S30" s="214" t="s">
        <v>1333</v>
      </c>
      <c r="T30" s="220" t="s">
        <v>10</v>
      </c>
      <c r="U30" s="218" t="s">
        <v>12</v>
      </c>
      <c r="V30" s="216" t="s">
        <v>1334</v>
      </c>
    </row>
    <row r="31" spans="1:24" ht="42.75" customHeight="1">
      <c r="A31" s="167"/>
      <c r="B31" s="221">
        <v>1</v>
      </c>
      <c r="C31" s="169"/>
      <c r="D31" s="169"/>
      <c r="E31" s="169"/>
      <c r="F31" s="169"/>
      <c r="G31" s="169"/>
      <c r="H31" s="174"/>
      <c r="I31" s="180"/>
      <c r="J31" s="169"/>
      <c r="K31" s="174"/>
      <c r="L31" s="221"/>
      <c r="M31" s="215"/>
      <c r="N31" s="215"/>
      <c r="O31" s="171"/>
      <c r="P31" s="221"/>
      <c r="Q31" s="170"/>
      <c r="R31" s="170"/>
      <c r="S31" s="176"/>
      <c r="T31" s="171"/>
      <c r="U31" s="221"/>
      <c r="V31" s="203"/>
      <c r="W31" s="167"/>
      <c r="X31" s="167"/>
    </row>
    <row r="32" spans="1:24" ht="45.75" customHeight="1">
      <c r="A32" s="167"/>
      <c r="B32" s="222">
        <v>2</v>
      </c>
      <c r="C32" s="183"/>
      <c r="D32" s="183"/>
      <c r="E32" s="183"/>
      <c r="F32" s="183"/>
      <c r="G32" s="183"/>
      <c r="H32" s="223"/>
      <c r="I32" s="182"/>
      <c r="J32" s="183"/>
      <c r="K32" s="223"/>
      <c r="L32" s="222"/>
      <c r="M32" s="224"/>
      <c r="N32" s="224"/>
      <c r="O32" s="227"/>
      <c r="P32" s="222"/>
      <c r="Q32" s="184"/>
      <c r="R32" s="184"/>
      <c r="S32" s="226"/>
      <c r="T32" s="227"/>
      <c r="U32" s="222"/>
      <c r="V32" s="210"/>
      <c r="W32" s="167"/>
      <c r="X32" s="167"/>
    </row>
  </sheetData>
  <mergeCells count="59">
    <mergeCell ref="B27:V27"/>
    <mergeCell ref="B29:H29"/>
    <mergeCell ref="I29:K29"/>
    <mergeCell ref="L29:O29"/>
    <mergeCell ref="P29:T29"/>
    <mergeCell ref="U29:V29"/>
    <mergeCell ref="B21:H21"/>
    <mergeCell ref="I21:K21"/>
    <mergeCell ref="L21:O21"/>
    <mergeCell ref="P21:T21"/>
    <mergeCell ref="U21:V21"/>
    <mergeCell ref="U11:U13"/>
    <mergeCell ref="U6:V6"/>
    <mergeCell ref="V9:V10"/>
    <mergeCell ref="V11:V13"/>
    <mergeCell ref="B19:V19"/>
    <mergeCell ref="R11:R13"/>
    <mergeCell ref="S11:S13"/>
    <mergeCell ref="T11:T13"/>
    <mergeCell ref="P6:T6"/>
    <mergeCell ref="L6:O6"/>
    <mergeCell ref="O9:O10"/>
    <mergeCell ref="L9:L10"/>
    <mergeCell ref="L11:L13"/>
    <mergeCell ref="M9:M10"/>
    <mergeCell ref="M11:M13"/>
    <mergeCell ref="N9:N10"/>
    <mergeCell ref="N11:N13"/>
    <mergeCell ref="Q11:Q13"/>
    <mergeCell ref="G11:G13"/>
    <mergeCell ref="I11:I13"/>
    <mergeCell ref="I9:I10"/>
    <mergeCell ref="J9:J10"/>
    <mergeCell ref="J11:J13"/>
    <mergeCell ref="K9:K10"/>
    <mergeCell ref="K11:K13"/>
    <mergeCell ref="O11:O13"/>
    <mergeCell ref="P11:P13"/>
    <mergeCell ref="E9:E10"/>
    <mergeCell ref="B11:B13"/>
    <mergeCell ref="C11:C13"/>
    <mergeCell ref="D11:D13"/>
    <mergeCell ref="E11:E13"/>
    <mergeCell ref="F11:F13"/>
    <mergeCell ref="B6:H6"/>
    <mergeCell ref="B2:V2"/>
    <mergeCell ref="B4:V4"/>
    <mergeCell ref="F9:F10"/>
    <mergeCell ref="P9:P10"/>
    <mergeCell ref="Q9:Q10"/>
    <mergeCell ref="G9:G10"/>
    <mergeCell ref="I6:K6"/>
    <mergeCell ref="R9:R10"/>
    <mergeCell ref="S9:S10"/>
    <mergeCell ref="T9:T10"/>
    <mergeCell ref="U9:U10"/>
    <mergeCell ref="B9:B10"/>
    <mergeCell ref="C9:C10"/>
    <mergeCell ref="D9:D10"/>
  </mergeCells>
  <hyperlinks>
    <hyperlink ref="S8" r:id="rId1" xr:uid="{2CCFCC24-CB74-4AD8-9F2D-B66275D57F15}"/>
    <hyperlink ref="S9:S10" r:id="rId2" display="asistente.investigacion@rccmex.com.mx" xr:uid="{354152AE-A9D1-4630-A91A-A22D1A0E49FD}"/>
    <hyperlink ref="S11:S13" r:id="rId3" display="jonathan.arriaga@a-electronics.com.mx" xr:uid="{1B2E3F79-FB96-42B0-820E-20D2E7AB6CBF}"/>
    <hyperlink ref="S14" r:id="rId4" xr:uid="{3F54A8BB-D0D2-420F-9249-E2AD5DA7A48A}"/>
    <hyperlink ref="S15" r:id="rId5" xr:uid="{84BB9134-E243-45D8-A4A3-9C7FF6C35E61}"/>
    <hyperlink ref="S16" r:id="rId6" xr:uid="{7E70D830-D070-46CD-8FDC-0C51E015C24D}"/>
    <hyperlink ref="S23" r:id="rId7" xr:uid="{AB51ECED-EF2F-4B52-9C96-4D13C32AA420}"/>
    <hyperlink ref="S24" r:id="rId8" xr:uid="{8071354B-860E-4388-8A73-F580AA94095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9B600-EA6A-4293-A62F-1F57CF072519}">
  <sheetPr>
    <pageSetUpPr fitToPage="1"/>
  </sheetPr>
  <dimension ref="A1:G209"/>
  <sheetViews>
    <sheetView topLeftCell="A171" workbookViewId="0">
      <selection activeCell="F178" sqref="F178:F183"/>
    </sheetView>
  </sheetViews>
  <sheetFormatPr defaultRowHeight="15"/>
  <cols>
    <col min="1" max="1" width="4.140625" style="115" bestFit="1" customWidth="1"/>
    <col min="2" max="2" width="11.140625" style="115" customWidth="1"/>
    <col min="3" max="3" width="13.28515625" style="115" customWidth="1"/>
    <col min="4" max="4" width="43.85546875" style="116" customWidth="1"/>
    <col min="5" max="5" width="15.85546875" style="115" customWidth="1"/>
    <col min="6" max="6" width="55.7109375" style="116" customWidth="1"/>
    <col min="7" max="7" width="16" style="117" customWidth="1"/>
  </cols>
  <sheetData>
    <row r="1" spans="1:7">
      <c r="A1" s="282" t="s">
        <v>1440</v>
      </c>
      <c r="B1" s="282"/>
      <c r="C1" s="282"/>
      <c r="D1" s="282"/>
      <c r="E1" s="282"/>
      <c r="F1" s="282"/>
      <c r="G1" s="282"/>
    </row>
    <row r="2" spans="1:7">
      <c r="A2" s="66"/>
      <c r="B2" s="66"/>
      <c r="C2" s="66"/>
      <c r="D2" s="89"/>
      <c r="E2" s="66"/>
      <c r="F2" s="89"/>
      <c r="G2" s="76"/>
    </row>
    <row r="3" spans="1:7" ht="21.75">
      <c r="A3" s="63" t="s">
        <v>1321</v>
      </c>
      <c r="B3" s="64" t="s">
        <v>1441</v>
      </c>
      <c r="C3" s="64" t="s">
        <v>1442</v>
      </c>
      <c r="D3" s="64" t="s">
        <v>1443</v>
      </c>
      <c r="E3" s="64" t="s">
        <v>1444</v>
      </c>
      <c r="F3" s="64" t="s">
        <v>1445</v>
      </c>
      <c r="G3" s="65" t="s">
        <v>1446</v>
      </c>
    </row>
    <row r="4" spans="1:7">
      <c r="A4" s="67">
        <v>1</v>
      </c>
      <c r="B4" s="103" t="s">
        <v>1447</v>
      </c>
      <c r="C4" s="103" t="s">
        <v>1448</v>
      </c>
      <c r="D4" s="90" t="s">
        <v>1449</v>
      </c>
      <c r="E4" s="103" t="s">
        <v>39</v>
      </c>
      <c r="F4" s="90" t="s">
        <v>1450</v>
      </c>
      <c r="G4" s="77" t="s">
        <v>1451</v>
      </c>
    </row>
    <row r="5" spans="1:7">
      <c r="A5" s="67">
        <v>2</v>
      </c>
      <c r="B5" s="103" t="s">
        <v>1447</v>
      </c>
      <c r="C5" s="103" t="s">
        <v>1448</v>
      </c>
      <c r="D5" s="90" t="s">
        <v>1452</v>
      </c>
      <c r="E5" s="103" t="s">
        <v>247</v>
      </c>
      <c r="F5" s="90" t="s">
        <v>1453</v>
      </c>
      <c r="G5" s="77" t="s">
        <v>1454</v>
      </c>
    </row>
    <row r="6" spans="1:7" ht="21.75">
      <c r="A6" s="67">
        <v>3</v>
      </c>
      <c r="B6" s="103" t="s">
        <v>1447</v>
      </c>
      <c r="C6" s="103" t="s">
        <v>1448</v>
      </c>
      <c r="D6" s="90" t="s">
        <v>1455</v>
      </c>
      <c r="E6" s="103" t="s">
        <v>21</v>
      </c>
      <c r="F6" s="90" t="s">
        <v>1456</v>
      </c>
      <c r="G6" s="77" t="s">
        <v>1457</v>
      </c>
    </row>
    <row r="7" spans="1:7">
      <c r="A7" s="67">
        <v>4</v>
      </c>
      <c r="B7" s="103" t="s">
        <v>1447</v>
      </c>
      <c r="C7" s="103" t="s">
        <v>1458</v>
      </c>
      <c r="D7" s="90" t="s">
        <v>1459</v>
      </c>
      <c r="E7" s="103" t="s">
        <v>55</v>
      </c>
      <c r="F7" s="90" t="s">
        <v>1460</v>
      </c>
      <c r="G7" s="77" t="s">
        <v>1461</v>
      </c>
    </row>
    <row r="8" spans="1:7">
      <c r="A8" s="67">
        <v>5</v>
      </c>
      <c r="B8" s="103" t="s">
        <v>1447</v>
      </c>
      <c r="C8" s="103" t="s">
        <v>1458</v>
      </c>
      <c r="D8" s="90" t="s">
        <v>1462</v>
      </c>
      <c r="E8" s="103" t="s">
        <v>1463</v>
      </c>
      <c r="F8" s="90" t="s">
        <v>1464</v>
      </c>
      <c r="G8" s="77" t="s">
        <v>1461</v>
      </c>
    </row>
    <row r="9" spans="1:7" ht="21.75">
      <c r="A9" s="68">
        <v>6</v>
      </c>
      <c r="B9" s="104" t="s">
        <v>1465</v>
      </c>
      <c r="C9" s="104" t="s">
        <v>1448</v>
      </c>
      <c r="D9" s="91" t="s">
        <v>1466</v>
      </c>
      <c r="E9" s="104" t="s">
        <v>720</v>
      </c>
      <c r="F9" s="91" t="s">
        <v>1467</v>
      </c>
      <c r="G9" s="78" t="s">
        <v>1468</v>
      </c>
    </row>
    <row r="10" spans="1:7" ht="21.75">
      <c r="A10" s="68">
        <v>7</v>
      </c>
      <c r="B10" s="104" t="s">
        <v>1465</v>
      </c>
      <c r="C10" s="104" t="s">
        <v>1448</v>
      </c>
      <c r="D10" s="91" t="s">
        <v>1469</v>
      </c>
      <c r="E10" s="104" t="s">
        <v>290</v>
      </c>
      <c r="F10" s="91" t="s">
        <v>1470</v>
      </c>
      <c r="G10" s="78" t="s">
        <v>1468</v>
      </c>
    </row>
    <row r="11" spans="1:7" ht="21.75">
      <c r="A11" s="68">
        <v>8</v>
      </c>
      <c r="B11" s="104" t="s">
        <v>1465</v>
      </c>
      <c r="C11" s="104" t="s">
        <v>1448</v>
      </c>
      <c r="D11" s="91" t="s">
        <v>1471</v>
      </c>
      <c r="E11" s="104" t="s">
        <v>160</v>
      </c>
      <c r="F11" s="91" t="s">
        <v>1472</v>
      </c>
      <c r="G11" s="78" t="s">
        <v>1473</v>
      </c>
    </row>
    <row r="12" spans="1:7" ht="32.25">
      <c r="A12" s="68">
        <v>9</v>
      </c>
      <c r="B12" s="104" t="s">
        <v>1465</v>
      </c>
      <c r="C12" s="104" t="s">
        <v>1448</v>
      </c>
      <c r="D12" s="91" t="s">
        <v>1474</v>
      </c>
      <c r="E12" s="104" t="s">
        <v>708</v>
      </c>
      <c r="F12" s="92" t="s">
        <v>1475</v>
      </c>
      <c r="G12" s="78" t="s">
        <v>1476</v>
      </c>
    </row>
    <row r="13" spans="1:7" ht="21.75">
      <c r="A13" s="68">
        <v>10</v>
      </c>
      <c r="B13" s="104" t="s">
        <v>1465</v>
      </c>
      <c r="C13" s="104" t="s">
        <v>1448</v>
      </c>
      <c r="D13" s="91" t="s">
        <v>1477</v>
      </c>
      <c r="E13" s="104" t="s">
        <v>1478</v>
      </c>
      <c r="F13" s="91" t="s">
        <v>1479</v>
      </c>
      <c r="G13" s="78" t="s">
        <v>1480</v>
      </c>
    </row>
    <row r="14" spans="1:7">
      <c r="A14" s="68">
        <v>11</v>
      </c>
      <c r="B14" s="104" t="s">
        <v>1465</v>
      </c>
      <c r="C14" s="104" t="s">
        <v>1448</v>
      </c>
      <c r="D14" s="91" t="s">
        <v>1481</v>
      </c>
      <c r="E14" s="104" t="s">
        <v>1482</v>
      </c>
      <c r="F14" s="91" t="s">
        <v>1483</v>
      </c>
      <c r="G14" s="78" t="s">
        <v>1484</v>
      </c>
    </row>
    <row r="15" spans="1:7" ht="43.5">
      <c r="A15" s="68">
        <v>12</v>
      </c>
      <c r="B15" s="104" t="s">
        <v>1465</v>
      </c>
      <c r="C15" s="104" t="s">
        <v>1448</v>
      </c>
      <c r="D15" s="91" t="s">
        <v>1485</v>
      </c>
      <c r="E15" s="104" t="s">
        <v>1486</v>
      </c>
      <c r="F15" s="91" t="s">
        <v>1487</v>
      </c>
      <c r="G15" s="78" t="s">
        <v>1488</v>
      </c>
    </row>
    <row r="16" spans="1:7" ht="32.25">
      <c r="A16" s="69">
        <v>13</v>
      </c>
      <c r="B16" s="105" t="s">
        <v>1489</v>
      </c>
      <c r="C16" s="105" t="s">
        <v>1448</v>
      </c>
      <c r="D16" s="93" t="s">
        <v>1490</v>
      </c>
      <c r="E16" s="105" t="s">
        <v>1491</v>
      </c>
      <c r="F16" s="93" t="s">
        <v>1492</v>
      </c>
      <c r="G16" s="79" t="s">
        <v>1493</v>
      </c>
    </row>
    <row r="17" spans="1:7">
      <c r="A17" s="69">
        <v>14</v>
      </c>
      <c r="B17" s="105" t="s">
        <v>1489</v>
      </c>
      <c r="C17" s="105" t="s">
        <v>1448</v>
      </c>
      <c r="D17" s="93" t="s">
        <v>1490</v>
      </c>
      <c r="E17" s="105" t="s">
        <v>1491</v>
      </c>
      <c r="F17" s="93" t="s">
        <v>1494</v>
      </c>
      <c r="G17" s="79" t="s">
        <v>1495</v>
      </c>
    </row>
    <row r="18" spans="1:7" ht="32.25">
      <c r="A18" s="69">
        <v>15</v>
      </c>
      <c r="B18" s="105" t="s">
        <v>1489</v>
      </c>
      <c r="C18" s="105" t="s">
        <v>1458</v>
      </c>
      <c r="D18" s="93" t="s">
        <v>1496</v>
      </c>
      <c r="E18" s="105" t="s">
        <v>545</v>
      </c>
      <c r="F18" s="93" t="s">
        <v>1497</v>
      </c>
      <c r="G18" s="79" t="s">
        <v>1498</v>
      </c>
    </row>
    <row r="19" spans="1:7" ht="21.75">
      <c r="A19" s="69">
        <v>16</v>
      </c>
      <c r="B19" s="105" t="s">
        <v>1489</v>
      </c>
      <c r="C19" s="105" t="s">
        <v>1458</v>
      </c>
      <c r="D19" s="93" t="s">
        <v>1496</v>
      </c>
      <c r="E19" s="105" t="s">
        <v>545</v>
      </c>
      <c r="F19" s="93" t="s">
        <v>1499</v>
      </c>
      <c r="G19" s="79" t="s">
        <v>1500</v>
      </c>
    </row>
    <row r="20" spans="1:7" ht="21.75">
      <c r="A20" s="70">
        <v>17</v>
      </c>
      <c r="B20" s="109" t="s">
        <v>1501</v>
      </c>
      <c r="C20" s="109" t="s">
        <v>1458</v>
      </c>
      <c r="D20" s="94" t="s">
        <v>1502</v>
      </c>
      <c r="E20" s="106" t="s">
        <v>1314</v>
      </c>
      <c r="F20" s="94" t="s">
        <v>1503</v>
      </c>
      <c r="G20" s="80" t="s">
        <v>1504</v>
      </c>
    </row>
    <row r="21" spans="1:7" ht="21.75">
      <c r="A21" s="70">
        <v>18</v>
      </c>
      <c r="B21" s="109" t="s">
        <v>1501</v>
      </c>
      <c r="C21" s="109" t="s">
        <v>1458</v>
      </c>
      <c r="D21" s="94" t="s">
        <v>1505</v>
      </c>
      <c r="E21" s="106" t="s">
        <v>1491</v>
      </c>
      <c r="F21" s="94" t="s">
        <v>1506</v>
      </c>
      <c r="G21" s="80" t="s">
        <v>1507</v>
      </c>
    </row>
    <row r="22" spans="1:7" ht="32.25">
      <c r="A22" s="70">
        <v>19</v>
      </c>
      <c r="B22" s="109" t="s">
        <v>1501</v>
      </c>
      <c r="C22" s="109" t="s">
        <v>1458</v>
      </c>
      <c r="D22" s="94" t="s">
        <v>1508</v>
      </c>
      <c r="E22" s="106" t="s">
        <v>1314</v>
      </c>
      <c r="F22" s="94" t="s">
        <v>1509</v>
      </c>
      <c r="G22" s="80" t="s">
        <v>1510</v>
      </c>
    </row>
    <row r="23" spans="1:7" ht="21.75">
      <c r="A23" s="71">
        <v>20</v>
      </c>
      <c r="B23" s="107" t="s">
        <v>1511</v>
      </c>
      <c r="C23" s="107">
        <v>2017</v>
      </c>
      <c r="D23" s="95" t="s">
        <v>1512</v>
      </c>
      <c r="E23" s="107" t="s">
        <v>579</v>
      </c>
      <c r="F23" s="95" t="s">
        <v>1513</v>
      </c>
      <c r="G23" s="81" t="s">
        <v>1514</v>
      </c>
    </row>
    <row r="24" spans="1:7">
      <c r="A24" s="71">
        <v>21</v>
      </c>
      <c r="B24" s="107" t="s">
        <v>1511</v>
      </c>
      <c r="C24" s="107">
        <v>2017</v>
      </c>
      <c r="D24" s="95" t="s">
        <v>1452</v>
      </c>
      <c r="E24" s="107" t="s">
        <v>247</v>
      </c>
      <c r="F24" s="95" t="s">
        <v>1515</v>
      </c>
      <c r="G24" s="81" t="s">
        <v>1516</v>
      </c>
    </row>
    <row r="25" spans="1:7">
      <c r="A25" s="71">
        <v>22</v>
      </c>
      <c r="B25" s="107" t="s">
        <v>1511</v>
      </c>
      <c r="C25" s="107">
        <v>2017</v>
      </c>
      <c r="D25" s="95" t="s">
        <v>1517</v>
      </c>
      <c r="E25" s="107" t="s">
        <v>55</v>
      </c>
      <c r="F25" s="95" t="s">
        <v>1518</v>
      </c>
      <c r="G25" s="81" t="s">
        <v>1519</v>
      </c>
    </row>
    <row r="26" spans="1:7" ht="43.5">
      <c r="A26" s="71">
        <v>23</v>
      </c>
      <c r="B26" s="107" t="s">
        <v>1511</v>
      </c>
      <c r="C26" s="107">
        <v>2017</v>
      </c>
      <c r="D26" s="95" t="s">
        <v>1520</v>
      </c>
      <c r="E26" s="107" t="s">
        <v>1521</v>
      </c>
      <c r="F26" s="95" t="s">
        <v>1522</v>
      </c>
      <c r="G26" s="81" t="s">
        <v>1523</v>
      </c>
    </row>
    <row r="27" spans="1:7" ht="21.75">
      <c r="A27" s="71">
        <v>24</v>
      </c>
      <c r="B27" s="107" t="s">
        <v>1511</v>
      </c>
      <c r="C27" s="107">
        <v>2017</v>
      </c>
      <c r="D27" s="95" t="s">
        <v>1524</v>
      </c>
      <c r="E27" s="107" t="s">
        <v>247</v>
      </c>
      <c r="F27" s="95" t="s">
        <v>1525</v>
      </c>
      <c r="G27" s="81" t="s">
        <v>1526</v>
      </c>
    </row>
    <row r="28" spans="1:7" ht="21.75">
      <c r="A28" s="71">
        <v>25</v>
      </c>
      <c r="B28" s="107" t="s">
        <v>1511</v>
      </c>
      <c r="C28" s="107">
        <v>2017</v>
      </c>
      <c r="D28" s="95" t="s">
        <v>1524</v>
      </c>
      <c r="E28" s="107" t="s">
        <v>247</v>
      </c>
      <c r="F28" s="95" t="s">
        <v>1527</v>
      </c>
      <c r="G28" s="81" t="s">
        <v>1528</v>
      </c>
    </row>
    <row r="29" spans="1:7" ht="32.25">
      <c r="A29" s="72">
        <v>26</v>
      </c>
      <c r="B29" s="108" t="s">
        <v>1511</v>
      </c>
      <c r="C29" s="108">
        <v>2017</v>
      </c>
      <c r="D29" s="96" t="s">
        <v>1529</v>
      </c>
      <c r="E29" s="108" t="s">
        <v>579</v>
      </c>
      <c r="F29" s="96" t="s">
        <v>1530</v>
      </c>
      <c r="G29" s="82" t="s">
        <v>1531</v>
      </c>
    </row>
    <row r="30" spans="1:7">
      <c r="A30" s="67">
        <v>27</v>
      </c>
      <c r="B30" s="103" t="s">
        <v>1447</v>
      </c>
      <c r="C30" s="103">
        <v>2018</v>
      </c>
      <c r="D30" s="90" t="s">
        <v>1532</v>
      </c>
      <c r="E30" s="103" t="s">
        <v>1463</v>
      </c>
      <c r="F30" s="90" t="s">
        <v>1533</v>
      </c>
      <c r="G30" s="77" t="s">
        <v>1461</v>
      </c>
    </row>
    <row r="31" spans="1:7" ht="21.75">
      <c r="A31" s="67">
        <v>28</v>
      </c>
      <c r="B31" s="103" t="s">
        <v>1447</v>
      </c>
      <c r="C31" s="103">
        <v>2018</v>
      </c>
      <c r="D31" s="90" t="s">
        <v>1534</v>
      </c>
      <c r="E31" s="103" t="s">
        <v>21</v>
      </c>
      <c r="F31" s="90" t="s">
        <v>1535</v>
      </c>
      <c r="G31" s="77" t="s">
        <v>1461</v>
      </c>
    </row>
    <row r="32" spans="1:7" ht="21.75">
      <c r="A32" s="67">
        <v>29</v>
      </c>
      <c r="B32" s="103" t="s">
        <v>1447</v>
      </c>
      <c r="C32" s="103">
        <v>2018</v>
      </c>
      <c r="D32" s="90" t="s">
        <v>1536</v>
      </c>
      <c r="E32" s="103" t="s">
        <v>55</v>
      </c>
      <c r="F32" s="90" t="s">
        <v>1537</v>
      </c>
      <c r="G32" s="77" t="s">
        <v>1538</v>
      </c>
    </row>
    <row r="33" spans="1:7">
      <c r="A33" s="67">
        <v>30</v>
      </c>
      <c r="B33" s="103" t="s">
        <v>1447</v>
      </c>
      <c r="C33" s="103">
        <v>2018</v>
      </c>
      <c r="D33" s="90" t="s">
        <v>1539</v>
      </c>
      <c r="E33" s="103" t="s">
        <v>1314</v>
      </c>
      <c r="F33" s="90" t="s">
        <v>1540</v>
      </c>
      <c r="G33" s="77" t="s">
        <v>1541</v>
      </c>
    </row>
    <row r="34" spans="1:7">
      <c r="A34" s="67">
        <v>31</v>
      </c>
      <c r="B34" s="103" t="s">
        <v>1447</v>
      </c>
      <c r="C34" s="103">
        <v>2018</v>
      </c>
      <c r="D34" s="90" t="s">
        <v>1542</v>
      </c>
      <c r="E34" s="103" t="s">
        <v>579</v>
      </c>
      <c r="F34" s="90" t="s">
        <v>1543</v>
      </c>
      <c r="G34" s="77" t="s">
        <v>1544</v>
      </c>
    </row>
    <row r="35" spans="1:7" ht="21.75">
      <c r="A35" s="67">
        <v>32</v>
      </c>
      <c r="B35" s="103" t="s">
        <v>1447</v>
      </c>
      <c r="C35" s="103">
        <v>2018</v>
      </c>
      <c r="D35" s="90" t="s">
        <v>1545</v>
      </c>
      <c r="E35" s="103" t="s">
        <v>21</v>
      </c>
      <c r="F35" s="90" t="s">
        <v>1546</v>
      </c>
      <c r="G35" s="77" t="s">
        <v>1547</v>
      </c>
    </row>
    <row r="36" spans="1:7" ht="21.75">
      <c r="A36" s="68">
        <v>33</v>
      </c>
      <c r="B36" s="104" t="s">
        <v>1465</v>
      </c>
      <c r="C36" s="104">
        <v>2018</v>
      </c>
      <c r="D36" s="91" t="s">
        <v>1548</v>
      </c>
      <c r="E36" s="104" t="s">
        <v>1549</v>
      </c>
      <c r="F36" s="91" t="s">
        <v>1550</v>
      </c>
      <c r="G36" s="78" t="s">
        <v>1551</v>
      </c>
    </row>
    <row r="37" spans="1:7" ht="32.25">
      <c r="A37" s="68">
        <v>34</v>
      </c>
      <c r="B37" s="104" t="s">
        <v>1465</v>
      </c>
      <c r="C37" s="104">
        <v>2018</v>
      </c>
      <c r="D37" s="91" t="s">
        <v>1552</v>
      </c>
      <c r="E37" s="104" t="s">
        <v>708</v>
      </c>
      <c r="F37" s="91" t="s">
        <v>1553</v>
      </c>
      <c r="G37" s="78" t="s">
        <v>1554</v>
      </c>
    </row>
    <row r="38" spans="1:7" ht="21.75">
      <c r="A38" s="68">
        <v>35</v>
      </c>
      <c r="B38" s="104" t="s">
        <v>1465</v>
      </c>
      <c r="C38" s="104">
        <v>2018</v>
      </c>
      <c r="D38" s="91" t="s">
        <v>1555</v>
      </c>
      <c r="E38" s="104" t="s">
        <v>55</v>
      </c>
      <c r="F38" s="91" t="s">
        <v>1556</v>
      </c>
      <c r="G38" s="78" t="s">
        <v>1557</v>
      </c>
    </row>
    <row r="39" spans="1:7" ht="21.75">
      <c r="A39" s="68">
        <v>36</v>
      </c>
      <c r="B39" s="104" t="s">
        <v>1465</v>
      </c>
      <c r="C39" s="104">
        <v>2018</v>
      </c>
      <c r="D39" s="91" t="s">
        <v>1558</v>
      </c>
      <c r="E39" s="104" t="s">
        <v>39</v>
      </c>
      <c r="F39" s="91" t="s">
        <v>1559</v>
      </c>
      <c r="G39" s="78" t="s">
        <v>1523</v>
      </c>
    </row>
    <row r="40" spans="1:7" ht="32.25">
      <c r="A40" s="68">
        <v>37</v>
      </c>
      <c r="B40" s="104" t="s">
        <v>1465</v>
      </c>
      <c r="C40" s="104">
        <v>2018</v>
      </c>
      <c r="D40" s="91" t="s">
        <v>1560</v>
      </c>
      <c r="E40" s="104" t="s">
        <v>21</v>
      </c>
      <c r="F40" s="91" t="s">
        <v>1561</v>
      </c>
      <c r="G40" s="78" t="s">
        <v>1562</v>
      </c>
    </row>
    <row r="41" spans="1:7" ht="21.75">
      <c r="A41" s="68">
        <v>38</v>
      </c>
      <c r="B41" s="104" t="s">
        <v>1465</v>
      </c>
      <c r="C41" s="104">
        <v>2018</v>
      </c>
      <c r="D41" s="91" t="s">
        <v>1563</v>
      </c>
      <c r="E41" s="104" t="s">
        <v>579</v>
      </c>
      <c r="F41" s="91" t="s">
        <v>1564</v>
      </c>
      <c r="G41" s="78" t="s">
        <v>1565</v>
      </c>
    </row>
    <row r="42" spans="1:7" ht="32.25">
      <c r="A42" s="69">
        <v>39</v>
      </c>
      <c r="B42" s="105" t="s">
        <v>1489</v>
      </c>
      <c r="C42" s="105">
        <v>2018</v>
      </c>
      <c r="D42" s="93" t="s">
        <v>1566</v>
      </c>
      <c r="E42" s="105" t="s">
        <v>432</v>
      </c>
      <c r="F42" s="93" t="s">
        <v>1567</v>
      </c>
      <c r="G42" s="79" t="s">
        <v>1568</v>
      </c>
    </row>
    <row r="43" spans="1:7" ht="32.25">
      <c r="A43" s="69">
        <v>40</v>
      </c>
      <c r="B43" s="105" t="s">
        <v>1489</v>
      </c>
      <c r="C43" s="105">
        <v>2018</v>
      </c>
      <c r="D43" s="93" t="s">
        <v>1569</v>
      </c>
      <c r="E43" s="105" t="s">
        <v>708</v>
      </c>
      <c r="F43" s="93" t="s">
        <v>1570</v>
      </c>
      <c r="G43" s="79" t="s">
        <v>1571</v>
      </c>
    </row>
    <row r="44" spans="1:7" ht="32.25">
      <c r="A44" s="69">
        <v>41</v>
      </c>
      <c r="B44" s="105" t="s">
        <v>1489</v>
      </c>
      <c r="C44" s="105">
        <v>2018</v>
      </c>
      <c r="D44" s="93" t="s">
        <v>1572</v>
      </c>
      <c r="E44" s="105" t="s">
        <v>1521</v>
      </c>
      <c r="F44" s="93" t="s">
        <v>1573</v>
      </c>
      <c r="G44" s="79" t="s">
        <v>1568</v>
      </c>
    </row>
    <row r="45" spans="1:7" ht="21.75">
      <c r="A45" s="70">
        <v>42</v>
      </c>
      <c r="B45" s="106" t="s">
        <v>1501</v>
      </c>
      <c r="C45" s="106">
        <v>2018</v>
      </c>
      <c r="D45" s="94" t="s">
        <v>1566</v>
      </c>
      <c r="E45" s="109" t="s">
        <v>432</v>
      </c>
      <c r="F45" s="94" t="s">
        <v>1574</v>
      </c>
      <c r="G45" s="80" t="s">
        <v>1575</v>
      </c>
    </row>
    <row r="46" spans="1:7" ht="21.75">
      <c r="A46" s="70">
        <v>43</v>
      </c>
      <c r="B46" s="106" t="s">
        <v>1501</v>
      </c>
      <c r="C46" s="106">
        <v>2018</v>
      </c>
      <c r="D46" s="94" t="s">
        <v>1576</v>
      </c>
      <c r="E46" s="106" t="s">
        <v>147</v>
      </c>
      <c r="F46" s="94" t="s">
        <v>1577</v>
      </c>
      <c r="G46" s="80" t="s">
        <v>1468</v>
      </c>
    </row>
    <row r="47" spans="1:7" ht="21.75">
      <c r="A47" s="70">
        <v>44</v>
      </c>
      <c r="B47" s="106" t="s">
        <v>1501</v>
      </c>
      <c r="C47" s="106">
        <v>2018</v>
      </c>
      <c r="D47" s="94" t="s">
        <v>1576</v>
      </c>
      <c r="E47" s="106" t="s">
        <v>147</v>
      </c>
      <c r="F47" s="94" t="s">
        <v>1578</v>
      </c>
      <c r="G47" s="80" t="s">
        <v>1468</v>
      </c>
    </row>
    <row r="48" spans="1:7">
      <c r="A48" s="70">
        <v>45</v>
      </c>
      <c r="B48" s="106" t="s">
        <v>1501</v>
      </c>
      <c r="C48" s="106">
        <v>2018</v>
      </c>
      <c r="D48" s="94" t="s">
        <v>1534</v>
      </c>
      <c r="E48" s="109" t="s">
        <v>21</v>
      </c>
      <c r="F48" s="94" t="s">
        <v>1579</v>
      </c>
      <c r="G48" s="80" t="s">
        <v>1580</v>
      </c>
    </row>
    <row r="49" spans="1:7" ht="21.75">
      <c r="A49" s="70">
        <v>46</v>
      </c>
      <c r="B49" s="106" t="s">
        <v>1501</v>
      </c>
      <c r="C49" s="106">
        <v>2018</v>
      </c>
      <c r="D49" s="94" t="s">
        <v>1581</v>
      </c>
      <c r="E49" s="109" t="s">
        <v>21</v>
      </c>
      <c r="F49" s="94" t="s">
        <v>1582</v>
      </c>
      <c r="G49" s="80" t="s">
        <v>1583</v>
      </c>
    </row>
    <row r="50" spans="1:7" ht="21.75">
      <c r="A50" s="71">
        <v>47</v>
      </c>
      <c r="B50" s="107" t="s">
        <v>1511</v>
      </c>
      <c r="C50" s="107">
        <v>2018</v>
      </c>
      <c r="D50" s="95" t="s">
        <v>1584</v>
      </c>
      <c r="E50" s="107" t="s">
        <v>39</v>
      </c>
      <c r="F50" s="95" t="s">
        <v>1585</v>
      </c>
      <c r="G50" s="81" t="s">
        <v>1586</v>
      </c>
    </row>
    <row r="51" spans="1:7" ht="21.75">
      <c r="A51" s="71">
        <v>48</v>
      </c>
      <c r="B51" s="107" t="s">
        <v>1511</v>
      </c>
      <c r="C51" s="107">
        <v>2018</v>
      </c>
      <c r="D51" s="95" t="s">
        <v>1587</v>
      </c>
      <c r="E51" s="107" t="s">
        <v>55</v>
      </c>
      <c r="F51" s="95" t="s">
        <v>1588</v>
      </c>
      <c r="G51" s="81" t="s">
        <v>1589</v>
      </c>
    </row>
    <row r="52" spans="1:7" ht="21.75">
      <c r="A52" s="71">
        <v>49</v>
      </c>
      <c r="B52" s="107" t="s">
        <v>1511</v>
      </c>
      <c r="C52" s="107">
        <v>2018</v>
      </c>
      <c r="D52" s="95" t="s">
        <v>1517</v>
      </c>
      <c r="E52" s="107" t="s">
        <v>55</v>
      </c>
      <c r="F52" s="95" t="s">
        <v>1590</v>
      </c>
      <c r="G52" s="81" t="s">
        <v>1591</v>
      </c>
    </row>
    <row r="53" spans="1:7" ht="32.25">
      <c r="A53" s="71">
        <v>50</v>
      </c>
      <c r="B53" s="107" t="s">
        <v>1511</v>
      </c>
      <c r="C53" s="107">
        <v>2018</v>
      </c>
      <c r="D53" s="95" t="s">
        <v>1592</v>
      </c>
      <c r="E53" s="107" t="s">
        <v>545</v>
      </c>
      <c r="F53" s="95" t="s">
        <v>1593</v>
      </c>
      <c r="G53" s="81" t="s">
        <v>1594</v>
      </c>
    </row>
    <row r="54" spans="1:7">
      <c r="A54" s="71">
        <v>51</v>
      </c>
      <c r="B54" s="107" t="s">
        <v>1511</v>
      </c>
      <c r="C54" s="107">
        <v>2018</v>
      </c>
      <c r="D54" s="95" t="s">
        <v>1595</v>
      </c>
      <c r="E54" s="107" t="s">
        <v>1491</v>
      </c>
      <c r="F54" s="95" t="s">
        <v>1596</v>
      </c>
      <c r="G54" s="81" t="s">
        <v>1597</v>
      </c>
    </row>
    <row r="55" spans="1:7" ht="21.75">
      <c r="A55" s="71">
        <v>52</v>
      </c>
      <c r="B55" s="107" t="s">
        <v>1511</v>
      </c>
      <c r="C55" s="107">
        <v>2018</v>
      </c>
      <c r="D55" s="95" t="s">
        <v>1598</v>
      </c>
      <c r="E55" s="107" t="s">
        <v>1599</v>
      </c>
      <c r="F55" s="95" t="s">
        <v>1600</v>
      </c>
      <c r="G55" s="81" t="s">
        <v>1523</v>
      </c>
    </row>
    <row r="56" spans="1:7" ht="21.75">
      <c r="A56" s="71">
        <v>53</v>
      </c>
      <c r="B56" s="107" t="s">
        <v>1511</v>
      </c>
      <c r="C56" s="107">
        <v>2018</v>
      </c>
      <c r="D56" s="95" t="s">
        <v>1601</v>
      </c>
      <c r="E56" s="107" t="s">
        <v>720</v>
      </c>
      <c r="F56" s="95" t="s">
        <v>1602</v>
      </c>
      <c r="G56" s="81" t="s">
        <v>1597</v>
      </c>
    </row>
    <row r="57" spans="1:7" ht="21.75">
      <c r="A57" s="72">
        <v>54</v>
      </c>
      <c r="B57" s="108" t="s">
        <v>1511</v>
      </c>
      <c r="C57" s="108">
        <v>2018</v>
      </c>
      <c r="D57" s="96" t="s">
        <v>1603</v>
      </c>
      <c r="E57" s="108" t="s">
        <v>579</v>
      </c>
      <c r="F57" s="96" t="s">
        <v>1604</v>
      </c>
      <c r="G57" s="82" t="s">
        <v>1605</v>
      </c>
    </row>
    <row r="58" spans="1:7" ht="32.25">
      <c r="A58" s="67">
        <v>55</v>
      </c>
      <c r="B58" s="103" t="s">
        <v>1447</v>
      </c>
      <c r="C58" s="103">
        <v>2019</v>
      </c>
      <c r="D58" s="97" t="s">
        <v>1606</v>
      </c>
      <c r="E58" s="103" t="s">
        <v>545</v>
      </c>
      <c r="F58" s="97" t="s">
        <v>1607</v>
      </c>
      <c r="G58" s="83" t="s">
        <v>1608</v>
      </c>
    </row>
    <row r="59" spans="1:7" ht="21.75">
      <c r="A59" s="67">
        <v>56</v>
      </c>
      <c r="B59" s="103" t="s">
        <v>1447</v>
      </c>
      <c r="C59" s="103">
        <v>2019</v>
      </c>
      <c r="D59" s="97" t="s">
        <v>1609</v>
      </c>
      <c r="E59" s="103" t="s">
        <v>579</v>
      </c>
      <c r="F59" s="97" t="s">
        <v>1610</v>
      </c>
      <c r="G59" s="83" t="s">
        <v>1611</v>
      </c>
    </row>
    <row r="60" spans="1:7" ht="21.75">
      <c r="A60" s="67">
        <v>57</v>
      </c>
      <c r="B60" s="103" t="s">
        <v>1447</v>
      </c>
      <c r="C60" s="103">
        <v>2019</v>
      </c>
      <c r="D60" s="97" t="s">
        <v>1612</v>
      </c>
      <c r="E60" s="103" t="s">
        <v>1314</v>
      </c>
      <c r="F60" s="97" t="s">
        <v>1613</v>
      </c>
      <c r="G60" s="83" t="s">
        <v>1614</v>
      </c>
    </row>
    <row r="61" spans="1:7" ht="43.5">
      <c r="A61" s="67">
        <v>58</v>
      </c>
      <c r="B61" s="103" t="s">
        <v>1447</v>
      </c>
      <c r="C61" s="103">
        <v>2019</v>
      </c>
      <c r="D61" s="97" t="s">
        <v>1615</v>
      </c>
      <c r="E61" s="103" t="s">
        <v>247</v>
      </c>
      <c r="F61" s="97" t="s">
        <v>1616</v>
      </c>
      <c r="G61" s="83" t="s">
        <v>1617</v>
      </c>
    </row>
    <row r="62" spans="1:7" ht="32.25">
      <c r="A62" s="67">
        <v>59</v>
      </c>
      <c r="B62" s="103" t="s">
        <v>1447</v>
      </c>
      <c r="C62" s="103">
        <v>2019</v>
      </c>
      <c r="D62" s="97" t="s">
        <v>1618</v>
      </c>
      <c r="E62" s="103" t="s">
        <v>1486</v>
      </c>
      <c r="F62" s="97" t="s">
        <v>1619</v>
      </c>
      <c r="G62" s="83" t="s">
        <v>1461</v>
      </c>
    </row>
    <row r="63" spans="1:7" ht="32.25">
      <c r="A63" s="67">
        <v>60</v>
      </c>
      <c r="B63" s="103" t="s">
        <v>1447</v>
      </c>
      <c r="C63" s="103">
        <v>2019</v>
      </c>
      <c r="D63" s="97" t="s">
        <v>1620</v>
      </c>
      <c r="E63" s="103" t="s">
        <v>1621</v>
      </c>
      <c r="F63" s="97" t="s">
        <v>1622</v>
      </c>
      <c r="G63" s="83" t="s">
        <v>1623</v>
      </c>
    </row>
    <row r="64" spans="1:7" ht="21.75">
      <c r="A64" s="68">
        <v>61</v>
      </c>
      <c r="B64" s="104" t="s">
        <v>1465</v>
      </c>
      <c r="C64" s="104">
        <v>2019</v>
      </c>
      <c r="D64" s="98" t="s">
        <v>1624</v>
      </c>
      <c r="E64" s="104" t="s">
        <v>1314</v>
      </c>
      <c r="F64" s="98" t="s">
        <v>1625</v>
      </c>
      <c r="G64" s="84" t="s">
        <v>1626</v>
      </c>
    </row>
    <row r="65" spans="1:7" ht="21.75">
      <c r="A65" s="68">
        <v>62</v>
      </c>
      <c r="B65" s="104" t="s">
        <v>1465</v>
      </c>
      <c r="C65" s="104">
        <v>2019</v>
      </c>
      <c r="D65" s="91" t="s">
        <v>1627</v>
      </c>
      <c r="E65" s="104" t="s">
        <v>1628</v>
      </c>
      <c r="F65" s="98" t="s">
        <v>1629</v>
      </c>
      <c r="G65" s="84" t="s">
        <v>1523</v>
      </c>
    </row>
    <row r="66" spans="1:7" ht="21.75">
      <c r="A66" s="68">
        <v>63</v>
      </c>
      <c r="B66" s="104" t="s">
        <v>1465</v>
      </c>
      <c r="C66" s="104">
        <v>2019</v>
      </c>
      <c r="D66" s="98" t="s">
        <v>1630</v>
      </c>
      <c r="E66" s="104" t="s">
        <v>1482</v>
      </c>
      <c r="F66" s="98" t="s">
        <v>1631</v>
      </c>
      <c r="G66" s="84" t="s">
        <v>1632</v>
      </c>
    </row>
    <row r="67" spans="1:7" ht="32.25">
      <c r="A67" s="68">
        <v>64</v>
      </c>
      <c r="B67" s="104" t="s">
        <v>1465</v>
      </c>
      <c r="C67" s="104">
        <v>2019</v>
      </c>
      <c r="D67" s="91" t="s">
        <v>1548</v>
      </c>
      <c r="E67" s="104" t="s">
        <v>1549</v>
      </c>
      <c r="F67" s="98" t="s">
        <v>1633</v>
      </c>
      <c r="G67" s="84" t="s">
        <v>1634</v>
      </c>
    </row>
    <row r="68" spans="1:7" ht="32.25">
      <c r="A68" s="68">
        <v>65</v>
      </c>
      <c r="B68" s="104" t="s">
        <v>1465</v>
      </c>
      <c r="C68" s="104">
        <v>2019</v>
      </c>
      <c r="D68" s="98" t="s">
        <v>1635</v>
      </c>
      <c r="E68" s="104" t="s">
        <v>708</v>
      </c>
      <c r="F68" s="98" t="s">
        <v>1636</v>
      </c>
      <c r="G68" s="84" t="s">
        <v>1523</v>
      </c>
    </row>
    <row r="69" spans="1:7" ht="21.75">
      <c r="A69" s="69">
        <v>66</v>
      </c>
      <c r="B69" s="105" t="s">
        <v>1489</v>
      </c>
      <c r="C69" s="105">
        <v>2019</v>
      </c>
      <c r="D69" s="93" t="s">
        <v>1637</v>
      </c>
      <c r="E69" s="105" t="s">
        <v>1491</v>
      </c>
      <c r="F69" s="93" t="s">
        <v>1638</v>
      </c>
      <c r="G69" s="79" t="s">
        <v>1639</v>
      </c>
    </row>
    <row r="70" spans="1:7" ht="32.25">
      <c r="A70" s="70">
        <v>67</v>
      </c>
      <c r="B70" s="106" t="s">
        <v>1501</v>
      </c>
      <c r="C70" s="106">
        <v>2019</v>
      </c>
      <c r="D70" s="94" t="s">
        <v>1640</v>
      </c>
      <c r="E70" s="106" t="s">
        <v>55</v>
      </c>
      <c r="F70" s="99" t="s">
        <v>1641</v>
      </c>
      <c r="G70" s="85" t="s">
        <v>1642</v>
      </c>
    </row>
    <row r="71" spans="1:7" ht="21.75">
      <c r="A71" s="70">
        <v>68</v>
      </c>
      <c r="B71" s="106" t="s">
        <v>1501</v>
      </c>
      <c r="C71" s="106">
        <v>2019</v>
      </c>
      <c r="D71" s="99" t="s">
        <v>1643</v>
      </c>
      <c r="E71" s="106" t="s">
        <v>1080</v>
      </c>
      <c r="F71" s="99" t="s">
        <v>1644</v>
      </c>
      <c r="G71" s="85" t="s">
        <v>1645</v>
      </c>
    </row>
    <row r="72" spans="1:7" ht="21.75">
      <c r="A72" s="70">
        <v>69</v>
      </c>
      <c r="B72" s="106" t="s">
        <v>1501</v>
      </c>
      <c r="C72" s="106">
        <v>2019</v>
      </c>
      <c r="D72" s="99" t="s">
        <v>1646</v>
      </c>
      <c r="E72" s="106" t="s">
        <v>579</v>
      </c>
      <c r="F72" s="99" t="s">
        <v>1647</v>
      </c>
      <c r="G72" s="85" t="s">
        <v>1648</v>
      </c>
    </row>
    <row r="73" spans="1:7" ht="21.75">
      <c r="A73" s="70">
        <v>70</v>
      </c>
      <c r="B73" s="106" t="s">
        <v>1501</v>
      </c>
      <c r="C73" s="106">
        <v>2019</v>
      </c>
      <c r="D73" s="99" t="s">
        <v>1649</v>
      </c>
      <c r="E73" s="106" t="s">
        <v>1491</v>
      </c>
      <c r="F73" s="99" t="s">
        <v>1650</v>
      </c>
      <c r="G73" s="85" t="s">
        <v>1651</v>
      </c>
    </row>
    <row r="74" spans="1:7" ht="21.75">
      <c r="A74" s="70">
        <v>71</v>
      </c>
      <c r="B74" s="106" t="s">
        <v>1501</v>
      </c>
      <c r="C74" s="106">
        <v>2019</v>
      </c>
      <c r="D74" s="99" t="s">
        <v>1652</v>
      </c>
      <c r="E74" s="106" t="s">
        <v>55</v>
      </c>
      <c r="F74" s="99" t="s">
        <v>1653</v>
      </c>
      <c r="G74" s="85" t="s">
        <v>1654</v>
      </c>
    </row>
    <row r="75" spans="1:7" ht="21.75">
      <c r="A75" s="71">
        <v>72</v>
      </c>
      <c r="B75" s="107" t="s">
        <v>1655</v>
      </c>
      <c r="C75" s="107">
        <v>2019</v>
      </c>
      <c r="D75" s="95" t="s">
        <v>1656</v>
      </c>
      <c r="E75" s="107" t="s">
        <v>1657</v>
      </c>
      <c r="F75" s="95" t="s">
        <v>1658</v>
      </c>
      <c r="G75" s="81" t="s">
        <v>1659</v>
      </c>
    </row>
    <row r="76" spans="1:7" ht="21.75">
      <c r="A76" s="71">
        <v>73</v>
      </c>
      <c r="B76" s="107" t="s">
        <v>1655</v>
      </c>
      <c r="C76" s="107">
        <v>2019</v>
      </c>
      <c r="D76" s="95" t="s">
        <v>1660</v>
      </c>
      <c r="E76" s="107" t="s">
        <v>432</v>
      </c>
      <c r="F76" s="95" t="s">
        <v>1661</v>
      </c>
      <c r="G76" s="81" t="s">
        <v>1523</v>
      </c>
    </row>
    <row r="77" spans="1:7" ht="21.75">
      <c r="A77" s="71">
        <v>74</v>
      </c>
      <c r="B77" s="107" t="s">
        <v>1655</v>
      </c>
      <c r="C77" s="107">
        <v>2019</v>
      </c>
      <c r="D77" s="95" t="s">
        <v>1662</v>
      </c>
      <c r="E77" s="107" t="s">
        <v>720</v>
      </c>
      <c r="F77" s="95" t="s">
        <v>1663</v>
      </c>
      <c r="G77" s="81" t="s">
        <v>1664</v>
      </c>
    </row>
    <row r="78" spans="1:7" ht="43.5">
      <c r="A78" s="71">
        <v>75</v>
      </c>
      <c r="B78" s="107" t="s">
        <v>1655</v>
      </c>
      <c r="C78" s="107">
        <v>2019</v>
      </c>
      <c r="D78" s="95" t="s">
        <v>1552</v>
      </c>
      <c r="E78" s="107" t="s">
        <v>55</v>
      </c>
      <c r="F78" s="95" t="s">
        <v>1665</v>
      </c>
      <c r="G78" s="81" t="s">
        <v>1666</v>
      </c>
    </row>
    <row r="79" spans="1:7" ht="32.25">
      <c r="A79" s="71">
        <v>76</v>
      </c>
      <c r="B79" s="107" t="s">
        <v>1655</v>
      </c>
      <c r="C79" s="107">
        <v>2019</v>
      </c>
      <c r="D79" s="95" t="s">
        <v>1667</v>
      </c>
      <c r="E79" s="107" t="s">
        <v>21</v>
      </c>
      <c r="F79" s="95" t="s">
        <v>1668</v>
      </c>
      <c r="G79" s="81" t="s">
        <v>1669</v>
      </c>
    </row>
    <row r="80" spans="1:7" ht="21.75">
      <c r="A80" s="71">
        <v>77</v>
      </c>
      <c r="B80" s="107" t="s">
        <v>1655</v>
      </c>
      <c r="C80" s="107">
        <v>2019</v>
      </c>
      <c r="D80" s="95" t="s">
        <v>1592</v>
      </c>
      <c r="E80" s="107" t="s">
        <v>545</v>
      </c>
      <c r="F80" s="95" t="s">
        <v>1670</v>
      </c>
      <c r="G80" s="81" t="s">
        <v>1671</v>
      </c>
    </row>
    <row r="81" spans="1:7" ht="21.75">
      <c r="A81" s="71">
        <v>78</v>
      </c>
      <c r="B81" s="107" t="s">
        <v>1655</v>
      </c>
      <c r="C81" s="107">
        <v>2019</v>
      </c>
      <c r="D81" s="95" t="s">
        <v>1672</v>
      </c>
      <c r="E81" s="107" t="s">
        <v>21</v>
      </c>
      <c r="F81" s="95" t="s">
        <v>1673</v>
      </c>
      <c r="G81" s="81" t="s">
        <v>1674</v>
      </c>
    </row>
    <row r="82" spans="1:7" ht="32.25">
      <c r="A82" s="72">
        <v>79</v>
      </c>
      <c r="B82" s="108" t="s">
        <v>1655</v>
      </c>
      <c r="C82" s="108">
        <v>2019</v>
      </c>
      <c r="D82" s="96" t="s">
        <v>1675</v>
      </c>
      <c r="E82" s="108" t="s">
        <v>21</v>
      </c>
      <c r="F82" s="96" t="s">
        <v>1676</v>
      </c>
      <c r="G82" s="82" t="s">
        <v>1677</v>
      </c>
    </row>
    <row r="83" spans="1:7" ht="21.75">
      <c r="A83" s="69">
        <v>80</v>
      </c>
      <c r="B83" s="105" t="s">
        <v>1489</v>
      </c>
      <c r="C83" s="105" t="s">
        <v>1678</v>
      </c>
      <c r="D83" s="93" t="s">
        <v>1566</v>
      </c>
      <c r="E83" s="105" t="s">
        <v>432</v>
      </c>
      <c r="F83" s="93" t="s">
        <v>1679</v>
      </c>
      <c r="G83" s="79" t="s">
        <v>1680</v>
      </c>
    </row>
    <row r="84" spans="1:7" ht="21.75">
      <c r="A84" s="69">
        <v>81</v>
      </c>
      <c r="B84" s="105" t="s">
        <v>1489</v>
      </c>
      <c r="C84" s="105" t="s">
        <v>1681</v>
      </c>
      <c r="D84" s="93" t="s">
        <v>1682</v>
      </c>
      <c r="E84" s="105" t="s">
        <v>21</v>
      </c>
      <c r="F84" s="93" t="s">
        <v>1683</v>
      </c>
      <c r="G84" s="79" t="s">
        <v>1684</v>
      </c>
    </row>
    <row r="85" spans="1:7" ht="32.25">
      <c r="A85" s="69">
        <v>82</v>
      </c>
      <c r="B85" s="105" t="s">
        <v>1489</v>
      </c>
      <c r="C85" s="105" t="s">
        <v>1681</v>
      </c>
      <c r="D85" s="93" t="s">
        <v>1685</v>
      </c>
      <c r="E85" s="105" t="s">
        <v>617</v>
      </c>
      <c r="F85" s="93" t="s">
        <v>1686</v>
      </c>
      <c r="G85" s="79" t="s">
        <v>1684</v>
      </c>
    </row>
    <row r="86" spans="1:7" ht="32.25">
      <c r="A86" s="69">
        <v>83</v>
      </c>
      <c r="B86" s="105" t="s">
        <v>1489</v>
      </c>
      <c r="C86" s="105" t="s">
        <v>1681</v>
      </c>
      <c r="D86" s="93" t="s">
        <v>1685</v>
      </c>
      <c r="E86" s="105" t="s">
        <v>617</v>
      </c>
      <c r="F86" s="93" t="s">
        <v>1687</v>
      </c>
      <c r="G86" s="79" t="s">
        <v>1688</v>
      </c>
    </row>
    <row r="87" spans="1:7" ht="21.75">
      <c r="A87" s="69">
        <v>84</v>
      </c>
      <c r="B87" s="105" t="s">
        <v>1489</v>
      </c>
      <c r="C87" s="105" t="s">
        <v>1681</v>
      </c>
      <c r="D87" s="93" t="s">
        <v>1689</v>
      </c>
      <c r="E87" s="105" t="s">
        <v>125</v>
      </c>
      <c r="F87" s="93" t="s">
        <v>1690</v>
      </c>
      <c r="G87" s="79" t="s">
        <v>1691</v>
      </c>
    </row>
    <row r="88" spans="1:7">
      <c r="A88" s="69">
        <v>85</v>
      </c>
      <c r="B88" s="105" t="s">
        <v>1489</v>
      </c>
      <c r="C88" s="105" t="s">
        <v>1681</v>
      </c>
      <c r="D88" s="93" t="s">
        <v>1692</v>
      </c>
      <c r="E88" s="105" t="s">
        <v>39</v>
      </c>
      <c r="F88" s="93" t="s">
        <v>1693</v>
      </c>
      <c r="G88" s="79" t="s">
        <v>1568</v>
      </c>
    </row>
    <row r="89" spans="1:7" ht="32.25">
      <c r="A89" s="69">
        <v>86</v>
      </c>
      <c r="B89" s="105" t="s">
        <v>1489</v>
      </c>
      <c r="C89" s="105" t="s">
        <v>1681</v>
      </c>
      <c r="D89" s="93" t="s">
        <v>1694</v>
      </c>
      <c r="E89" s="105" t="s">
        <v>21</v>
      </c>
      <c r="F89" s="93" t="s">
        <v>1695</v>
      </c>
      <c r="G89" s="79" t="s">
        <v>1680</v>
      </c>
    </row>
    <row r="90" spans="1:7" ht="21.75">
      <c r="A90" s="69">
        <v>87</v>
      </c>
      <c r="B90" s="105" t="s">
        <v>1489</v>
      </c>
      <c r="C90" s="105" t="s">
        <v>1681</v>
      </c>
      <c r="D90" s="93" t="s">
        <v>1696</v>
      </c>
      <c r="E90" s="105" t="s">
        <v>55</v>
      </c>
      <c r="F90" s="93" t="s">
        <v>1697</v>
      </c>
      <c r="G90" s="79" t="s">
        <v>1698</v>
      </c>
    </row>
    <row r="91" spans="1:7" ht="32.25">
      <c r="A91" s="69">
        <v>88</v>
      </c>
      <c r="B91" s="105" t="s">
        <v>1489</v>
      </c>
      <c r="C91" s="105" t="s">
        <v>1681</v>
      </c>
      <c r="D91" s="93" t="s">
        <v>1696</v>
      </c>
      <c r="E91" s="105" t="s">
        <v>55</v>
      </c>
      <c r="F91" s="93" t="s">
        <v>1699</v>
      </c>
      <c r="G91" s="79" t="s">
        <v>1700</v>
      </c>
    </row>
    <row r="92" spans="1:7" ht="32.25">
      <c r="A92" s="69">
        <v>89</v>
      </c>
      <c r="B92" s="105" t="s">
        <v>1489</v>
      </c>
      <c r="C92" s="105" t="s">
        <v>1681</v>
      </c>
      <c r="D92" s="93" t="s">
        <v>1696</v>
      </c>
      <c r="E92" s="105" t="s">
        <v>55</v>
      </c>
      <c r="F92" s="93" t="s">
        <v>1701</v>
      </c>
      <c r="G92" s="79" t="s">
        <v>1702</v>
      </c>
    </row>
    <row r="93" spans="1:7" ht="21.75">
      <c r="A93" s="69">
        <v>90</v>
      </c>
      <c r="B93" s="105" t="s">
        <v>1489</v>
      </c>
      <c r="C93" s="105" t="s">
        <v>1681</v>
      </c>
      <c r="D93" s="93" t="s">
        <v>1696</v>
      </c>
      <c r="E93" s="105" t="s">
        <v>55</v>
      </c>
      <c r="F93" s="93" t="s">
        <v>1703</v>
      </c>
      <c r="G93" s="79" t="s">
        <v>1698</v>
      </c>
    </row>
    <row r="94" spans="1:7" ht="21.75">
      <c r="A94" s="70">
        <v>91</v>
      </c>
      <c r="B94" s="106" t="s">
        <v>1501</v>
      </c>
      <c r="C94" s="106">
        <v>2021</v>
      </c>
      <c r="D94" s="94" t="s">
        <v>1704</v>
      </c>
      <c r="E94" s="106" t="s">
        <v>55</v>
      </c>
      <c r="F94" s="94" t="s">
        <v>1705</v>
      </c>
      <c r="G94" s="85" t="s">
        <v>1706</v>
      </c>
    </row>
    <row r="95" spans="1:7" ht="32.25">
      <c r="A95" s="70">
        <v>92</v>
      </c>
      <c r="B95" s="106" t="s">
        <v>1501</v>
      </c>
      <c r="C95" s="106">
        <v>2021</v>
      </c>
      <c r="D95" s="99" t="s">
        <v>1707</v>
      </c>
      <c r="E95" s="106" t="s">
        <v>21</v>
      </c>
      <c r="F95" s="99" t="s">
        <v>1708</v>
      </c>
      <c r="G95" s="85" t="s">
        <v>1709</v>
      </c>
    </row>
    <row r="96" spans="1:7" ht="21.75">
      <c r="A96" s="70">
        <v>93</v>
      </c>
      <c r="B96" s="106" t="s">
        <v>1501</v>
      </c>
      <c r="C96" s="106">
        <v>2021</v>
      </c>
      <c r="D96" s="94" t="s">
        <v>1710</v>
      </c>
      <c r="E96" s="106" t="s">
        <v>21</v>
      </c>
      <c r="F96" s="94" t="s">
        <v>1711</v>
      </c>
      <c r="G96" s="85" t="s">
        <v>1712</v>
      </c>
    </row>
    <row r="97" spans="1:7" ht="32.25">
      <c r="A97" s="70">
        <v>94</v>
      </c>
      <c r="B97" s="106" t="s">
        <v>1501</v>
      </c>
      <c r="C97" s="106">
        <v>2021</v>
      </c>
      <c r="D97" s="99" t="s">
        <v>1618</v>
      </c>
      <c r="E97" s="106" t="s">
        <v>1491</v>
      </c>
      <c r="F97" s="99" t="s">
        <v>1713</v>
      </c>
      <c r="G97" s="85" t="s">
        <v>1712</v>
      </c>
    </row>
    <row r="98" spans="1:7" ht="21.75">
      <c r="A98" s="70">
        <v>95</v>
      </c>
      <c r="B98" s="106" t="s">
        <v>1501</v>
      </c>
      <c r="C98" s="106">
        <v>2021</v>
      </c>
      <c r="D98" s="94" t="s">
        <v>1714</v>
      </c>
      <c r="E98" s="106" t="s">
        <v>708</v>
      </c>
      <c r="F98" s="94" t="s">
        <v>1715</v>
      </c>
      <c r="G98" s="85" t="s">
        <v>1716</v>
      </c>
    </row>
    <row r="99" spans="1:7" ht="21.75">
      <c r="A99" s="70">
        <v>96</v>
      </c>
      <c r="B99" s="106" t="s">
        <v>1501</v>
      </c>
      <c r="C99" s="106">
        <v>2021</v>
      </c>
      <c r="D99" s="99" t="s">
        <v>1717</v>
      </c>
      <c r="E99" s="106" t="s">
        <v>1314</v>
      </c>
      <c r="F99" s="99" t="s">
        <v>1718</v>
      </c>
      <c r="G99" s="85" t="s">
        <v>1712</v>
      </c>
    </row>
    <row r="100" spans="1:7" ht="32.25">
      <c r="A100" s="70">
        <v>97</v>
      </c>
      <c r="B100" s="106" t="s">
        <v>1501</v>
      </c>
      <c r="C100" s="106">
        <v>2021</v>
      </c>
      <c r="D100" s="94" t="s">
        <v>1719</v>
      </c>
      <c r="E100" s="106" t="s">
        <v>304</v>
      </c>
      <c r="F100" s="94" t="s">
        <v>1720</v>
      </c>
      <c r="G100" s="85" t="s">
        <v>1721</v>
      </c>
    </row>
    <row r="101" spans="1:7">
      <c r="A101" s="70">
        <v>98</v>
      </c>
      <c r="B101" s="106" t="s">
        <v>1501</v>
      </c>
      <c r="C101" s="106">
        <v>2021</v>
      </c>
      <c r="D101" s="99" t="s">
        <v>1722</v>
      </c>
      <c r="E101" s="106" t="s">
        <v>1482</v>
      </c>
      <c r="F101" s="99" t="s">
        <v>1723</v>
      </c>
      <c r="G101" s="85" t="s">
        <v>1724</v>
      </c>
    </row>
    <row r="102" spans="1:7" ht="32.25">
      <c r="A102" s="70">
        <v>99</v>
      </c>
      <c r="B102" s="106" t="s">
        <v>1501</v>
      </c>
      <c r="C102" s="106">
        <v>2021</v>
      </c>
      <c r="D102" s="94" t="s">
        <v>1725</v>
      </c>
      <c r="E102" s="106" t="s">
        <v>545</v>
      </c>
      <c r="F102" s="94" t="s">
        <v>1726</v>
      </c>
      <c r="G102" s="85" t="s">
        <v>1716</v>
      </c>
    </row>
    <row r="103" spans="1:7">
      <c r="A103" s="70">
        <v>100</v>
      </c>
      <c r="B103" s="106" t="s">
        <v>1501</v>
      </c>
      <c r="C103" s="106">
        <v>2021</v>
      </c>
      <c r="D103" s="99" t="s">
        <v>1727</v>
      </c>
      <c r="E103" s="106" t="s">
        <v>545</v>
      </c>
      <c r="F103" s="99" t="s">
        <v>1728</v>
      </c>
      <c r="G103" s="85" t="s">
        <v>1724</v>
      </c>
    </row>
    <row r="104" spans="1:7">
      <c r="A104" s="70">
        <v>101</v>
      </c>
      <c r="B104" s="106" t="s">
        <v>1501</v>
      </c>
      <c r="C104" s="106">
        <v>2021</v>
      </c>
      <c r="D104" s="94" t="s">
        <v>1729</v>
      </c>
      <c r="E104" s="106" t="s">
        <v>1730</v>
      </c>
      <c r="F104" s="94" t="s">
        <v>1731</v>
      </c>
      <c r="G104" s="85" t="s">
        <v>1712</v>
      </c>
    </row>
    <row r="105" spans="1:7" ht="32.25">
      <c r="A105" s="73">
        <v>102</v>
      </c>
      <c r="B105" s="110" t="s">
        <v>1501</v>
      </c>
      <c r="C105" s="110">
        <v>2021</v>
      </c>
      <c r="D105" s="100" t="s">
        <v>1732</v>
      </c>
      <c r="E105" s="110" t="s">
        <v>708</v>
      </c>
      <c r="F105" s="100" t="s">
        <v>1733</v>
      </c>
      <c r="G105" s="86" t="s">
        <v>1734</v>
      </c>
    </row>
    <row r="106" spans="1:7" ht="21.75">
      <c r="A106" s="74">
        <v>103</v>
      </c>
      <c r="B106" s="113" t="s">
        <v>1447</v>
      </c>
      <c r="C106" s="113">
        <v>2022</v>
      </c>
      <c r="D106" s="101" t="s">
        <v>1615</v>
      </c>
      <c r="E106" s="111" t="s">
        <v>247</v>
      </c>
      <c r="F106" s="101" t="s">
        <v>1735</v>
      </c>
      <c r="G106" s="87" t="s">
        <v>1736</v>
      </c>
    </row>
    <row r="107" spans="1:7">
      <c r="A107" s="67">
        <v>104</v>
      </c>
      <c r="B107" s="112" t="s">
        <v>1447</v>
      </c>
      <c r="C107" s="112">
        <v>2022</v>
      </c>
      <c r="D107" s="97" t="s">
        <v>1737</v>
      </c>
      <c r="E107" s="112" t="s">
        <v>545</v>
      </c>
      <c r="F107" s="97" t="s">
        <v>1738</v>
      </c>
      <c r="G107" s="83" t="s">
        <v>1736</v>
      </c>
    </row>
    <row r="108" spans="1:7" ht="43.5">
      <c r="A108" s="67">
        <v>105</v>
      </c>
      <c r="B108" s="112" t="s">
        <v>1447</v>
      </c>
      <c r="C108" s="112">
        <v>2022</v>
      </c>
      <c r="D108" s="97" t="s">
        <v>1739</v>
      </c>
      <c r="E108" s="112" t="s">
        <v>1740</v>
      </c>
      <c r="F108" s="97" t="s">
        <v>1741</v>
      </c>
      <c r="G108" s="83" t="s">
        <v>1736</v>
      </c>
    </row>
    <row r="109" spans="1:7" ht="21.75">
      <c r="A109" s="67">
        <v>106</v>
      </c>
      <c r="B109" s="112" t="s">
        <v>1447</v>
      </c>
      <c r="C109" s="112">
        <v>2022</v>
      </c>
      <c r="D109" s="97" t="s">
        <v>1742</v>
      </c>
      <c r="E109" s="112" t="s">
        <v>21</v>
      </c>
      <c r="F109" s="97" t="s">
        <v>1743</v>
      </c>
      <c r="G109" s="83" t="s">
        <v>1736</v>
      </c>
    </row>
    <row r="110" spans="1:7" ht="21.75">
      <c r="A110" s="67">
        <v>107</v>
      </c>
      <c r="B110" s="112" t="s">
        <v>1447</v>
      </c>
      <c r="C110" s="112">
        <v>2022</v>
      </c>
      <c r="D110" s="97" t="s">
        <v>1744</v>
      </c>
      <c r="E110" s="112" t="s">
        <v>1491</v>
      </c>
      <c r="F110" s="97" t="s">
        <v>1745</v>
      </c>
      <c r="G110" s="83" t="s">
        <v>1736</v>
      </c>
    </row>
    <row r="111" spans="1:7" ht="21.75">
      <c r="A111" s="67">
        <v>108</v>
      </c>
      <c r="B111" s="112" t="s">
        <v>1447</v>
      </c>
      <c r="C111" s="112">
        <v>2022</v>
      </c>
      <c r="D111" s="97" t="s">
        <v>1746</v>
      </c>
      <c r="E111" s="112" t="s">
        <v>247</v>
      </c>
      <c r="F111" s="97" t="s">
        <v>1747</v>
      </c>
      <c r="G111" s="83" t="s">
        <v>1736</v>
      </c>
    </row>
    <row r="112" spans="1:7">
      <c r="A112" s="67">
        <v>109</v>
      </c>
      <c r="B112" s="112" t="s">
        <v>1447</v>
      </c>
      <c r="C112" s="112">
        <v>2022</v>
      </c>
      <c r="D112" s="97" t="s">
        <v>1748</v>
      </c>
      <c r="E112" s="112" t="s">
        <v>21</v>
      </c>
      <c r="F112" s="97" t="s">
        <v>1749</v>
      </c>
      <c r="G112" s="83" t="s">
        <v>1736</v>
      </c>
    </row>
    <row r="113" spans="1:7" ht="21.75">
      <c r="A113" s="67">
        <v>110</v>
      </c>
      <c r="B113" s="112" t="s">
        <v>1447</v>
      </c>
      <c r="C113" s="112">
        <v>2022</v>
      </c>
      <c r="D113" s="97" t="s">
        <v>1750</v>
      </c>
      <c r="E113" s="112" t="s">
        <v>1621</v>
      </c>
      <c r="F113" s="97" t="s">
        <v>1751</v>
      </c>
      <c r="G113" s="83" t="s">
        <v>1736</v>
      </c>
    </row>
    <row r="114" spans="1:7" ht="21.75">
      <c r="A114" s="67">
        <v>111</v>
      </c>
      <c r="B114" s="112" t="s">
        <v>1447</v>
      </c>
      <c r="C114" s="112">
        <v>2022</v>
      </c>
      <c r="D114" s="97" t="s">
        <v>1752</v>
      </c>
      <c r="E114" s="112" t="s">
        <v>1482</v>
      </c>
      <c r="F114" s="97" t="s">
        <v>1753</v>
      </c>
      <c r="G114" s="83" t="s">
        <v>1736</v>
      </c>
    </row>
    <row r="115" spans="1:7" ht="21.75">
      <c r="A115" s="67">
        <v>112</v>
      </c>
      <c r="B115" s="112" t="s">
        <v>1447</v>
      </c>
      <c r="C115" s="112">
        <v>2022</v>
      </c>
      <c r="D115" s="97" t="s">
        <v>1752</v>
      </c>
      <c r="E115" s="112" t="s">
        <v>1482</v>
      </c>
      <c r="F115" s="97" t="s">
        <v>1754</v>
      </c>
      <c r="G115" s="83" t="s">
        <v>1736</v>
      </c>
    </row>
    <row r="116" spans="1:7" ht="43.5">
      <c r="A116" s="69">
        <v>113</v>
      </c>
      <c r="B116" s="105" t="s">
        <v>1755</v>
      </c>
      <c r="C116" s="105">
        <v>2022</v>
      </c>
      <c r="D116" s="93" t="s">
        <v>1756</v>
      </c>
      <c r="E116" s="105" t="s">
        <v>21</v>
      </c>
      <c r="F116" s="93" t="s">
        <v>1757</v>
      </c>
      <c r="G116" s="79" t="s">
        <v>1568</v>
      </c>
    </row>
    <row r="117" spans="1:7" ht="21.75">
      <c r="A117" s="69">
        <v>114</v>
      </c>
      <c r="B117" s="105" t="s">
        <v>1755</v>
      </c>
      <c r="C117" s="105">
        <v>2022</v>
      </c>
      <c r="D117" s="93" t="s">
        <v>1682</v>
      </c>
      <c r="E117" s="105" t="s">
        <v>21</v>
      </c>
      <c r="F117" s="93" t="s">
        <v>1758</v>
      </c>
      <c r="G117" s="79" t="s">
        <v>1568</v>
      </c>
    </row>
    <row r="118" spans="1:7" ht="21.75">
      <c r="A118" s="69">
        <v>115</v>
      </c>
      <c r="B118" s="105" t="s">
        <v>1755</v>
      </c>
      <c r="C118" s="105">
        <v>2022</v>
      </c>
      <c r="D118" s="93" t="s">
        <v>1685</v>
      </c>
      <c r="E118" s="105" t="s">
        <v>617</v>
      </c>
      <c r="F118" s="93" t="s">
        <v>1759</v>
      </c>
      <c r="G118" s="79" t="s">
        <v>1702</v>
      </c>
    </row>
    <row r="119" spans="1:7" ht="21.75">
      <c r="A119" s="69">
        <v>116</v>
      </c>
      <c r="B119" s="105" t="s">
        <v>1755</v>
      </c>
      <c r="C119" s="105">
        <v>2022</v>
      </c>
      <c r="D119" s="93" t="s">
        <v>1760</v>
      </c>
      <c r="E119" s="105" t="s">
        <v>39</v>
      </c>
      <c r="F119" s="93" t="s">
        <v>1761</v>
      </c>
      <c r="G119" s="79" t="s">
        <v>1702</v>
      </c>
    </row>
    <row r="120" spans="1:7" ht="21.75">
      <c r="A120" s="69">
        <v>117</v>
      </c>
      <c r="B120" s="105" t="s">
        <v>1755</v>
      </c>
      <c r="C120" s="105">
        <v>2022</v>
      </c>
      <c r="D120" s="93" t="s">
        <v>1662</v>
      </c>
      <c r="E120" s="105" t="s">
        <v>720</v>
      </c>
      <c r="F120" s="93" t="s">
        <v>1762</v>
      </c>
      <c r="G120" s="79" t="s">
        <v>1680</v>
      </c>
    </row>
    <row r="121" spans="1:7" ht="21.75">
      <c r="A121" s="69">
        <v>118</v>
      </c>
      <c r="B121" s="105" t="s">
        <v>1755</v>
      </c>
      <c r="C121" s="105">
        <v>2022</v>
      </c>
      <c r="D121" s="93" t="s">
        <v>1763</v>
      </c>
      <c r="E121" s="105" t="s">
        <v>21</v>
      </c>
      <c r="F121" s="93" t="s">
        <v>1764</v>
      </c>
      <c r="G121" s="79" t="s">
        <v>1765</v>
      </c>
    </row>
    <row r="122" spans="1:7" ht="21.75">
      <c r="A122" s="69">
        <v>119</v>
      </c>
      <c r="B122" s="105" t="s">
        <v>1755</v>
      </c>
      <c r="C122" s="105">
        <v>2022</v>
      </c>
      <c r="D122" s="93" t="s">
        <v>1766</v>
      </c>
      <c r="E122" s="105" t="s">
        <v>21</v>
      </c>
      <c r="F122" s="93" t="s">
        <v>1767</v>
      </c>
      <c r="G122" s="79" t="s">
        <v>1568</v>
      </c>
    </row>
    <row r="123" spans="1:7" ht="43.5">
      <c r="A123" s="69">
        <v>120</v>
      </c>
      <c r="B123" s="105" t="s">
        <v>1755</v>
      </c>
      <c r="C123" s="105">
        <v>2022</v>
      </c>
      <c r="D123" s="93" t="s">
        <v>1768</v>
      </c>
      <c r="E123" s="105" t="s">
        <v>55</v>
      </c>
      <c r="F123" s="93" t="s">
        <v>1769</v>
      </c>
      <c r="G123" s="79" t="s">
        <v>1568</v>
      </c>
    </row>
    <row r="124" spans="1:7" ht="32.25">
      <c r="A124" s="69">
        <v>121</v>
      </c>
      <c r="B124" s="105" t="s">
        <v>1755</v>
      </c>
      <c r="C124" s="105">
        <v>2022</v>
      </c>
      <c r="D124" s="93" t="s">
        <v>1770</v>
      </c>
      <c r="E124" s="105" t="s">
        <v>304</v>
      </c>
      <c r="F124" s="93" t="s">
        <v>1771</v>
      </c>
      <c r="G124" s="79" t="s">
        <v>1702</v>
      </c>
    </row>
    <row r="125" spans="1:7" ht="75">
      <c r="A125" s="69">
        <v>122</v>
      </c>
      <c r="B125" s="105" t="s">
        <v>1755</v>
      </c>
      <c r="C125" s="105">
        <v>2022</v>
      </c>
      <c r="D125" s="93" t="s">
        <v>1772</v>
      </c>
      <c r="E125" s="105" t="s">
        <v>21</v>
      </c>
      <c r="F125" s="93" t="s">
        <v>1773</v>
      </c>
      <c r="G125" s="79" t="s">
        <v>1568</v>
      </c>
    </row>
    <row r="126" spans="1:7" ht="32.25">
      <c r="A126" s="69">
        <v>123</v>
      </c>
      <c r="B126" s="105" t="s">
        <v>1755</v>
      </c>
      <c r="C126" s="105">
        <v>2022</v>
      </c>
      <c r="D126" s="93" t="s">
        <v>1774</v>
      </c>
      <c r="E126" s="105" t="s">
        <v>21</v>
      </c>
      <c r="F126" s="93" t="s">
        <v>1775</v>
      </c>
      <c r="G126" s="79" t="s">
        <v>1776</v>
      </c>
    </row>
    <row r="127" spans="1:7" ht="43.5">
      <c r="A127" s="70">
        <v>124</v>
      </c>
      <c r="B127" s="106" t="s">
        <v>1501</v>
      </c>
      <c r="C127" s="106">
        <v>2022</v>
      </c>
      <c r="D127" s="99" t="s">
        <v>1777</v>
      </c>
      <c r="E127" s="106" t="s">
        <v>55</v>
      </c>
      <c r="F127" s="99" t="s">
        <v>1778</v>
      </c>
      <c r="G127" s="85" t="s">
        <v>1779</v>
      </c>
    </row>
    <row r="128" spans="1:7" ht="21.75">
      <c r="A128" s="70">
        <v>125</v>
      </c>
      <c r="B128" s="106" t="s">
        <v>1501</v>
      </c>
      <c r="C128" s="106">
        <v>2022</v>
      </c>
      <c r="D128" s="99" t="s">
        <v>1780</v>
      </c>
      <c r="E128" s="106" t="s">
        <v>39</v>
      </c>
      <c r="F128" s="99" t="s">
        <v>1781</v>
      </c>
      <c r="G128" s="85" t="s">
        <v>1782</v>
      </c>
    </row>
    <row r="129" spans="1:7" ht="21.75">
      <c r="A129" s="70">
        <v>126</v>
      </c>
      <c r="B129" s="106" t="s">
        <v>1501</v>
      </c>
      <c r="C129" s="106">
        <v>2022</v>
      </c>
      <c r="D129" s="99" t="s">
        <v>1783</v>
      </c>
      <c r="E129" s="106" t="s">
        <v>653</v>
      </c>
      <c r="F129" s="99" t="s">
        <v>1784</v>
      </c>
      <c r="G129" s="85" t="s">
        <v>1785</v>
      </c>
    </row>
    <row r="130" spans="1:7" ht="32.25">
      <c r="A130" s="70">
        <v>127</v>
      </c>
      <c r="B130" s="106" t="s">
        <v>1501</v>
      </c>
      <c r="C130" s="106">
        <v>2022</v>
      </c>
      <c r="D130" s="99" t="s">
        <v>1786</v>
      </c>
      <c r="E130" s="106" t="s">
        <v>21</v>
      </c>
      <c r="F130" s="99" t="s">
        <v>1787</v>
      </c>
      <c r="G130" s="85" t="s">
        <v>1788</v>
      </c>
    </row>
    <row r="131" spans="1:7" ht="32.25">
      <c r="A131" s="70">
        <v>128</v>
      </c>
      <c r="B131" s="106" t="s">
        <v>1501</v>
      </c>
      <c r="C131" s="106">
        <v>2022</v>
      </c>
      <c r="D131" s="99" t="s">
        <v>1789</v>
      </c>
      <c r="E131" s="106" t="s">
        <v>1628</v>
      </c>
      <c r="F131" s="99" t="s">
        <v>1790</v>
      </c>
      <c r="G131" s="85" t="s">
        <v>1721</v>
      </c>
    </row>
    <row r="132" spans="1:7" ht="43.5">
      <c r="A132" s="70">
        <v>129</v>
      </c>
      <c r="B132" s="106" t="s">
        <v>1501</v>
      </c>
      <c r="C132" s="106">
        <v>2022</v>
      </c>
      <c r="D132" s="99" t="s">
        <v>1791</v>
      </c>
      <c r="E132" s="106" t="s">
        <v>1290</v>
      </c>
      <c r="F132" s="99" t="s">
        <v>1792</v>
      </c>
      <c r="G132" s="85" t="s">
        <v>1523</v>
      </c>
    </row>
    <row r="133" spans="1:7" ht="21.75">
      <c r="A133" s="73">
        <v>130</v>
      </c>
      <c r="B133" s="110" t="s">
        <v>1501</v>
      </c>
      <c r="C133" s="110">
        <v>2022</v>
      </c>
      <c r="D133" s="100" t="s">
        <v>1793</v>
      </c>
      <c r="E133" s="110" t="s">
        <v>1794</v>
      </c>
      <c r="F133" s="100" t="s">
        <v>1795</v>
      </c>
      <c r="G133" s="86" t="s">
        <v>1785</v>
      </c>
    </row>
    <row r="134" spans="1:7" ht="32.25">
      <c r="A134" s="74">
        <v>131</v>
      </c>
      <c r="B134" s="113" t="s">
        <v>1447</v>
      </c>
      <c r="C134" s="113">
        <v>2023</v>
      </c>
      <c r="D134" s="101" t="s">
        <v>1796</v>
      </c>
      <c r="E134" s="111" t="s">
        <v>653</v>
      </c>
      <c r="F134" s="101" t="s">
        <v>1797</v>
      </c>
      <c r="G134" s="87" t="s">
        <v>1798</v>
      </c>
    </row>
    <row r="135" spans="1:7" ht="21.75">
      <c r="A135" s="67">
        <v>132</v>
      </c>
      <c r="B135" s="112" t="s">
        <v>1447</v>
      </c>
      <c r="C135" s="112">
        <v>2023</v>
      </c>
      <c r="D135" s="97" t="s">
        <v>1750</v>
      </c>
      <c r="E135" s="112" t="s">
        <v>174</v>
      </c>
      <c r="F135" s="97" t="s">
        <v>1799</v>
      </c>
      <c r="G135" s="83" t="s">
        <v>1800</v>
      </c>
    </row>
    <row r="136" spans="1:7" ht="21.75">
      <c r="A136" s="67">
        <v>133</v>
      </c>
      <c r="B136" s="112" t="s">
        <v>1447</v>
      </c>
      <c r="C136" s="112">
        <v>2023</v>
      </c>
      <c r="D136" s="97" t="s">
        <v>1742</v>
      </c>
      <c r="E136" s="112" t="s">
        <v>21</v>
      </c>
      <c r="F136" s="97" t="s">
        <v>1801</v>
      </c>
      <c r="G136" s="83" t="s">
        <v>1802</v>
      </c>
    </row>
    <row r="137" spans="1:7" ht="21.75">
      <c r="A137" s="67">
        <v>134</v>
      </c>
      <c r="B137" s="112" t="s">
        <v>1447</v>
      </c>
      <c r="C137" s="112">
        <v>2023</v>
      </c>
      <c r="D137" s="97" t="s">
        <v>1803</v>
      </c>
      <c r="E137" s="112" t="s">
        <v>147</v>
      </c>
      <c r="F137" s="97" t="s">
        <v>1804</v>
      </c>
      <c r="G137" s="83" t="s">
        <v>1798</v>
      </c>
    </row>
    <row r="138" spans="1:7" ht="32.25">
      <c r="A138" s="67">
        <v>135</v>
      </c>
      <c r="B138" s="112" t="s">
        <v>1447</v>
      </c>
      <c r="C138" s="112">
        <v>2023</v>
      </c>
      <c r="D138" s="97" t="s">
        <v>1301</v>
      </c>
      <c r="E138" s="112" t="s">
        <v>617</v>
      </c>
      <c r="F138" s="97" t="s">
        <v>1805</v>
      </c>
      <c r="G138" s="83" t="s">
        <v>1800</v>
      </c>
    </row>
    <row r="139" spans="1:7" ht="21.75">
      <c r="A139" s="67">
        <v>136</v>
      </c>
      <c r="B139" s="112" t="s">
        <v>1447</v>
      </c>
      <c r="C139" s="112">
        <v>2023</v>
      </c>
      <c r="D139" s="97" t="s">
        <v>1793</v>
      </c>
      <c r="E139" s="112" t="s">
        <v>617</v>
      </c>
      <c r="F139" s="97" t="s">
        <v>1806</v>
      </c>
      <c r="G139" s="83" t="s">
        <v>1800</v>
      </c>
    </row>
    <row r="140" spans="1:7" ht="32.25">
      <c r="A140" s="67">
        <v>137</v>
      </c>
      <c r="B140" s="112" t="s">
        <v>1447</v>
      </c>
      <c r="C140" s="112">
        <v>2023</v>
      </c>
      <c r="D140" s="97" t="s">
        <v>1807</v>
      </c>
      <c r="E140" s="112" t="s">
        <v>21</v>
      </c>
      <c r="F140" s="97" t="s">
        <v>1808</v>
      </c>
      <c r="G140" s="83" t="s">
        <v>1809</v>
      </c>
    </row>
    <row r="141" spans="1:7" ht="21.75">
      <c r="A141" s="69">
        <v>138</v>
      </c>
      <c r="B141" s="105" t="s">
        <v>1755</v>
      </c>
      <c r="C141" s="105">
        <v>2023</v>
      </c>
      <c r="D141" s="93" t="s">
        <v>1810</v>
      </c>
      <c r="E141" s="105" t="s">
        <v>247</v>
      </c>
      <c r="F141" s="93" t="s">
        <v>1811</v>
      </c>
      <c r="G141" s="79" t="s">
        <v>1568</v>
      </c>
    </row>
    <row r="142" spans="1:7" ht="21.75">
      <c r="A142" s="69">
        <v>139</v>
      </c>
      <c r="B142" s="105" t="s">
        <v>1755</v>
      </c>
      <c r="C142" s="105">
        <v>2023</v>
      </c>
      <c r="D142" s="93" t="s">
        <v>1694</v>
      </c>
      <c r="E142" s="105" t="s">
        <v>21</v>
      </c>
      <c r="F142" s="93" t="s">
        <v>1812</v>
      </c>
      <c r="G142" s="79" t="s">
        <v>1680</v>
      </c>
    </row>
    <row r="143" spans="1:7" ht="21.75">
      <c r="A143" s="69">
        <v>140</v>
      </c>
      <c r="B143" s="105" t="s">
        <v>1755</v>
      </c>
      <c r="C143" s="105">
        <v>2023</v>
      </c>
      <c r="D143" s="93" t="s">
        <v>1756</v>
      </c>
      <c r="E143" s="105" t="s">
        <v>21</v>
      </c>
      <c r="F143" s="93" t="s">
        <v>1813</v>
      </c>
      <c r="G143" s="79" t="s">
        <v>1568</v>
      </c>
    </row>
    <row r="144" spans="1:7">
      <c r="A144" s="69">
        <v>141</v>
      </c>
      <c r="B144" s="105" t="s">
        <v>1755</v>
      </c>
      <c r="C144" s="105">
        <v>2023</v>
      </c>
      <c r="D144" s="93" t="s">
        <v>1814</v>
      </c>
      <c r="E144" s="105" t="s">
        <v>21</v>
      </c>
      <c r="F144" s="93" t="s">
        <v>1815</v>
      </c>
      <c r="G144" s="79" t="s">
        <v>1684</v>
      </c>
    </row>
    <row r="145" spans="1:7" ht="21.75">
      <c r="A145" s="69">
        <v>142</v>
      </c>
      <c r="B145" s="105" t="s">
        <v>1755</v>
      </c>
      <c r="C145" s="105">
        <v>2023</v>
      </c>
      <c r="D145" s="93" t="s">
        <v>1816</v>
      </c>
      <c r="E145" s="105" t="s">
        <v>579</v>
      </c>
      <c r="F145" s="93" t="s">
        <v>1817</v>
      </c>
      <c r="G145" s="79" t="s">
        <v>1684</v>
      </c>
    </row>
    <row r="146" spans="1:7" ht="21.75">
      <c r="A146" s="69">
        <v>143</v>
      </c>
      <c r="B146" s="105" t="s">
        <v>1755</v>
      </c>
      <c r="C146" s="105">
        <v>2023</v>
      </c>
      <c r="D146" s="93" t="s">
        <v>1818</v>
      </c>
      <c r="E146" s="105" t="s">
        <v>21</v>
      </c>
      <c r="F146" s="93" t="s">
        <v>1819</v>
      </c>
      <c r="G146" s="79" t="s">
        <v>1680</v>
      </c>
    </row>
    <row r="147" spans="1:7" ht="32.25">
      <c r="A147" s="69">
        <v>144</v>
      </c>
      <c r="B147" s="105" t="s">
        <v>1755</v>
      </c>
      <c r="C147" s="105">
        <v>2023</v>
      </c>
      <c r="D147" s="93" t="s">
        <v>1820</v>
      </c>
      <c r="E147" s="105" t="s">
        <v>21</v>
      </c>
      <c r="F147" s="93" t="s">
        <v>1821</v>
      </c>
      <c r="G147" s="79" t="s">
        <v>1684</v>
      </c>
    </row>
    <row r="148" spans="1:7" ht="43.5">
      <c r="A148" s="69">
        <v>145</v>
      </c>
      <c r="B148" s="105" t="s">
        <v>1755</v>
      </c>
      <c r="C148" s="105">
        <v>2023</v>
      </c>
      <c r="D148" s="93" t="s">
        <v>1822</v>
      </c>
      <c r="E148" s="105" t="s">
        <v>432</v>
      </c>
      <c r="F148" s="93" t="s">
        <v>1823</v>
      </c>
      <c r="G148" s="79" t="s">
        <v>1680</v>
      </c>
    </row>
    <row r="149" spans="1:7" ht="43.5">
      <c r="A149" s="69">
        <v>146</v>
      </c>
      <c r="B149" s="105" t="s">
        <v>1755</v>
      </c>
      <c r="C149" s="105">
        <v>2023</v>
      </c>
      <c r="D149" s="93" t="s">
        <v>1824</v>
      </c>
      <c r="E149" s="105" t="s">
        <v>21</v>
      </c>
      <c r="F149" s="93" t="s">
        <v>1825</v>
      </c>
      <c r="G149" s="79" t="s">
        <v>1680</v>
      </c>
    </row>
    <row r="150" spans="1:7" ht="21.75">
      <c r="A150" s="69">
        <v>147</v>
      </c>
      <c r="B150" s="105" t="s">
        <v>1755</v>
      </c>
      <c r="C150" s="105">
        <v>2023</v>
      </c>
      <c r="D150" s="93" t="s">
        <v>1826</v>
      </c>
      <c r="E150" s="105" t="s">
        <v>215</v>
      </c>
      <c r="F150" s="93" t="s">
        <v>1827</v>
      </c>
      <c r="G150" s="79" t="s">
        <v>1680</v>
      </c>
    </row>
    <row r="151" spans="1:7" ht="43.5">
      <c r="A151" s="69">
        <v>148</v>
      </c>
      <c r="B151" s="105" t="s">
        <v>1755</v>
      </c>
      <c r="C151" s="105">
        <v>2023</v>
      </c>
      <c r="D151" s="93" t="s">
        <v>1828</v>
      </c>
      <c r="E151" s="105" t="s">
        <v>21</v>
      </c>
      <c r="F151" s="93" t="s">
        <v>1829</v>
      </c>
      <c r="G151" s="79" t="s">
        <v>1680</v>
      </c>
    </row>
    <row r="152" spans="1:7" ht="43.5">
      <c r="A152" s="69">
        <v>149</v>
      </c>
      <c r="B152" s="105" t="s">
        <v>1755</v>
      </c>
      <c r="C152" s="105">
        <v>2023</v>
      </c>
      <c r="D152" s="93" t="s">
        <v>1696</v>
      </c>
      <c r="E152" s="105" t="s">
        <v>21</v>
      </c>
      <c r="F152" s="93" t="s">
        <v>1830</v>
      </c>
      <c r="G152" s="79" t="s">
        <v>1680</v>
      </c>
    </row>
    <row r="153" spans="1:7" ht="32.25">
      <c r="A153" s="70">
        <v>150</v>
      </c>
      <c r="B153" s="106" t="s">
        <v>1501</v>
      </c>
      <c r="C153" s="106">
        <v>2023</v>
      </c>
      <c r="D153" s="99" t="s">
        <v>1831</v>
      </c>
      <c r="E153" s="106" t="s">
        <v>21</v>
      </c>
      <c r="F153" s="99" t="s">
        <v>1832</v>
      </c>
      <c r="G153" s="85" t="s">
        <v>1833</v>
      </c>
    </row>
    <row r="154" spans="1:7" ht="21.75">
      <c r="A154" s="70">
        <v>151</v>
      </c>
      <c r="B154" s="106" t="s">
        <v>1501</v>
      </c>
      <c r="C154" s="106">
        <v>2023</v>
      </c>
      <c r="D154" s="99" t="s">
        <v>1834</v>
      </c>
      <c r="E154" s="106" t="s">
        <v>21</v>
      </c>
      <c r="F154" s="99" t="s">
        <v>1835</v>
      </c>
      <c r="G154" s="85" t="s">
        <v>1836</v>
      </c>
    </row>
    <row r="155" spans="1:7" ht="32.25">
      <c r="A155" s="70">
        <v>152</v>
      </c>
      <c r="B155" s="106" t="s">
        <v>1501</v>
      </c>
      <c r="C155" s="106">
        <v>2023</v>
      </c>
      <c r="D155" s="99" t="s">
        <v>1837</v>
      </c>
      <c r="E155" s="106" t="s">
        <v>55</v>
      </c>
      <c r="F155" s="99" t="s">
        <v>1838</v>
      </c>
      <c r="G155" s="85" t="s">
        <v>1839</v>
      </c>
    </row>
    <row r="156" spans="1:7" ht="21.75">
      <c r="A156" s="70">
        <v>153</v>
      </c>
      <c r="B156" s="106" t="s">
        <v>1501</v>
      </c>
      <c r="C156" s="106">
        <v>2023</v>
      </c>
      <c r="D156" s="99" t="s">
        <v>1748</v>
      </c>
      <c r="E156" s="106" t="s">
        <v>21</v>
      </c>
      <c r="F156" s="99" t="s">
        <v>1840</v>
      </c>
      <c r="G156" s="85" t="s">
        <v>1841</v>
      </c>
    </row>
    <row r="157" spans="1:7" ht="21.75">
      <c r="A157" s="70">
        <v>154</v>
      </c>
      <c r="B157" s="106" t="s">
        <v>1501</v>
      </c>
      <c r="C157" s="106">
        <v>2023</v>
      </c>
      <c r="D157" s="99" t="s">
        <v>1842</v>
      </c>
      <c r="E157" s="106" t="s">
        <v>887</v>
      </c>
      <c r="F157" s="99" t="s">
        <v>1843</v>
      </c>
      <c r="G157" s="85" t="s">
        <v>1844</v>
      </c>
    </row>
    <row r="158" spans="1:7" ht="21.75">
      <c r="A158" s="70">
        <v>155</v>
      </c>
      <c r="B158" s="106" t="s">
        <v>1501</v>
      </c>
      <c r="C158" s="106">
        <v>2023</v>
      </c>
      <c r="D158" s="99" t="s">
        <v>1845</v>
      </c>
      <c r="E158" s="106" t="s">
        <v>887</v>
      </c>
      <c r="F158" s="99" t="s">
        <v>1846</v>
      </c>
      <c r="G158" s="85" t="s">
        <v>1847</v>
      </c>
    </row>
    <row r="159" spans="1:7" ht="32.25">
      <c r="A159" s="70">
        <v>156</v>
      </c>
      <c r="B159" s="106" t="s">
        <v>1501</v>
      </c>
      <c r="C159" s="106">
        <v>2023</v>
      </c>
      <c r="D159" s="99" t="s">
        <v>1770</v>
      </c>
      <c r="E159" s="106" t="s">
        <v>304</v>
      </c>
      <c r="F159" s="99" t="s">
        <v>1848</v>
      </c>
      <c r="G159" s="85" t="s">
        <v>1849</v>
      </c>
    </row>
    <row r="160" spans="1:7" ht="43.5">
      <c r="A160" s="70">
        <v>157</v>
      </c>
      <c r="B160" s="106" t="s">
        <v>1501</v>
      </c>
      <c r="C160" s="106">
        <v>2023</v>
      </c>
      <c r="D160" s="99" t="s">
        <v>1850</v>
      </c>
      <c r="E160" s="106" t="s">
        <v>1491</v>
      </c>
      <c r="F160" s="99" t="s">
        <v>1851</v>
      </c>
      <c r="G160" s="85" t="s">
        <v>1852</v>
      </c>
    </row>
    <row r="161" spans="1:7">
      <c r="A161" s="70">
        <v>158</v>
      </c>
      <c r="B161" s="106" t="s">
        <v>1501</v>
      </c>
      <c r="C161" s="106">
        <v>2023</v>
      </c>
      <c r="D161" s="99" t="s">
        <v>1262</v>
      </c>
      <c r="E161" s="106" t="s">
        <v>545</v>
      </c>
      <c r="F161" s="99" t="s">
        <v>1853</v>
      </c>
      <c r="G161" s="85" t="s">
        <v>1854</v>
      </c>
    </row>
    <row r="162" spans="1:7" ht="32.25">
      <c r="A162" s="73">
        <v>159</v>
      </c>
      <c r="B162" s="110" t="s">
        <v>1501</v>
      </c>
      <c r="C162" s="110">
        <v>2023</v>
      </c>
      <c r="D162" s="100" t="s">
        <v>1310</v>
      </c>
      <c r="E162" s="110" t="s">
        <v>653</v>
      </c>
      <c r="F162" s="100" t="s">
        <v>1855</v>
      </c>
      <c r="G162" s="86" t="s">
        <v>1856</v>
      </c>
    </row>
    <row r="163" spans="1:7" ht="21.75">
      <c r="A163" s="74">
        <v>160</v>
      </c>
      <c r="B163" s="113" t="s">
        <v>1447</v>
      </c>
      <c r="C163" s="113" t="s">
        <v>1857</v>
      </c>
      <c r="D163" s="101" t="s">
        <v>1750</v>
      </c>
      <c r="E163" s="113" t="s">
        <v>174</v>
      </c>
      <c r="F163" s="101" t="s">
        <v>1858</v>
      </c>
      <c r="G163" s="87" t="s">
        <v>1736</v>
      </c>
    </row>
    <row r="164" spans="1:7" ht="21.75">
      <c r="A164" s="67">
        <v>161</v>
      </c>
      <c r="B164" s="112" t="s">
        <v>1447</v>
      </c>
      <c r="C164" s="112" t="s">
        <v>1857</v>
      </c>
      <c r="D164" s="97" t="s">
        <v>1742</v>
      </c>
      <c r="E164" s="112" t="s">
        <v>21</v>
      </c>
      <c r="F164" s="97" t="s">
        <v>1859</v>
      </c>
      <c r="G164" s="83" t="s">
        <v>1860</v>
      </c>
    </row>
    <row r="165" spans="1:7" ht="21.75">
      <c r="A165" s="67">
        <v>162</v>
      </c>
      <c r="B165" s="112" t="s">
        <v>1447</v>
      </c>
      <c r="C165" s="112" t="s">
        <v>1861</v>
      </c>
      <c r="D165" s="97" t="s">
        <v>1862</v>
      </c>
      <c r="E165" s="112" t="s">
        <v>1491</v>
      </c>
      <c r="F165" s="97" t="s">
        <v>1863</v>
      </c>
      <c r="G165" s="83" t="s">
        <v>1736</v>
      </c>
    </row>
    <row r="166" spans="1:7">
      <c r="A166" s="67">
        <v>163</v>
      </c>
      <c r="B166" s="112" t="s">
        <v>1447</v>
      </c>
      <c r="C166" s="112" t="s">
        <v>1861</v>
      </c>
      <c r="D166" s="97" t="s">
        <v>1864</v>
      </c>
      <c r="E166" s="112" t="s">
        <v>125</v>
      </c>
      <c r="F166" s="97" t="s">
        <v>1865</v>
      </c>
      <c r="G166" s="83" t="s">
        <v>1736</v>
      </c>
    </row>
    <row r="167" spans="1:7">
      <c r="A167" s="67">
        <v>164</v>
      </c>
      <c r="B167" s="112" t="s">
        <v>1447</v>
      </c>
      <c r="C167" s="112" t="s">
        <v>1861</v>
      </c>
      <c r="D167" s="97" t="s">
        <v>1517</v>
      </c>
      <c r="E167" s="112" t="s">
        <v>55</v>
      </c>
      <c r="F167" s="97" t="s">
        <v>1866</v>
      </c>
      <c r="G167" s="83" t="s">
        <v>1867</v>
      </c>
    </row>
    <row r="168" spans="1:7" ht="21.75">
      <c r="A168" s="67">
        <v>165</v>
      </c>
      <c r="B168" s="112" t="s">
        <v>1447</v>
      </c>
      <c r="C168" s="112" t="s">
        <v>1861</v>
      </c>
      <c r="D168" s="97" t="s">
        <v>1685</v>
      </c>
      <c r="E168" s="112" t="s">
        <v>617</v>
      </c>
      <c r="F168" s="97" t="s">
        <v>1868</v>
      </c>
      <c r="G168" s="83" t="s">
        <v>1736</v>
      </c>
    </row>
    <row r="169" spans="1:7" ht="21.75">
      <c r="A169" s="67">
        <v>166</v>
      </c>
      <c r="B169" s="112" t="s">
        <v>1447</v>
      </c>
      <c r="C169" s="112" t="s">
        <v>1861</v>
      </c>
      <c r="D169" s="97" t="s">
        <v>1869</v>
      </c>
      <c r="E169" s="112" t="s">
        <v>579</v>
      </c>
      <c r="F169" s="97" t="s">
        <v>1870</v>
      </c>
      <c r="G169" s="83" t="s">
        <v>1736</v>
      </c>
    </row>
    <row r="170" spans="1:7" ht="32.25">
      <c r="A170" s="67">
        <v>167</v>
      </c>
      <c r="B170" s="112" t="s">
        <v>1447</v>
      </c>
      <c r="C170" s="112" t="s">
        <v>1861</v>
      </c>
      <c r="D170" s="97" t="s">
        <v>1871</v>
      </c>
      <c r="E170" s="112" t="s">
        <v>83</v>
      </c>
      <c r="F170" s="97" t="s">
        <v>1872</v>
      </c>
      <c r="G170" s="83" t="s">
        <v>1736</v>
      </c>
    </row>
    <row r="171" spans="1:7" ht="32.25">
      <c r="A171" s="69">
        <v>168</v>
      </c>
      <c r="B171" s="105" t="s">
        <v>1755</v>
      </c>
      <c r="C171" s="105" t="s">
        <v>1857</v>
      </c>
      <c r="D171" s="93" t="s">
        <v>1816</v>
      </c>
      <c r="E171" s="105" t="s">
        <v>579</v>
      </c>
      <c r="F171" s="93" t="s">
        <v>1873</v>
      </c>
      <c r="G171" s="79" t="s">
        <v>1874</v>
      </c>
    </row>
    <row r="172" spans="1:7">
      <c r="A172" s="69">
        <v>169</v>
      </c>
      <c r="B172" s="105" t="s">
        <v>1755</v>
      </c>
      <c r="C172" s="105" t="s">
        <v>1861</v>
      </c>
      <c r="D172" s="93" t="s">
        <v>1828</v>
      </c>
      <c r="E172" s="105" t="s">
        <v>1347</v>
      </c>
      <c r="F172" s="93" t="s">
        <v>1875</v>
      </c>
      <c r="G172" s="79" t="s">
        <v>1876</v>
      </c>
    </row>
    <row r="173" spans="1:7" ht="32.25">
      <c r="A173" s="69">
        <v>170</v>
      </c>
      <c r="B173" s="105" t="s">
        <v>1755</v>
      </c>
      <c r="C173" s="105" t="s">
        <v>1861</v>
      </c>
      <c r="D173" s="93" t="s">
        <v>1793</v>
      </c>
      <c r="E173" s="105" t="s">
        <v>617</v>
      </c>
      <c r="F173" s="93" t="s">
        <v>1877</v>
      </c>
      <c r="G173" s="79" t="s">
        <v>1878</v>
      </c>
    </row>
    <row r="174" spans="1:7" ht="32.25">
      <c r="A174" s="69">
        <v>171</v>
      </c>
      <c r="B174" s="105" t="s">
        <v>1755</v>
      </c>
      <c r="C174" s="105" t="s">
        <v>1861</v>
      </c>
      <c r="D174" s="93" t="s">
        <v>1879</v>
      </c>
      <c r="E174" s="105" t="s">
        <v>21</v>
      </c>
      <c r="F174" s="93" t="s">
        <v>1880</v>
      </c>
      <c r="G174" s="79" t="s">
        <v>1881</v>
      </c>
    </row>
    <row r="175" spans="1:7" ht="43.5">
      <c r="A175" s="69">
        <v>172</v>
      </c>
      <c r="B175" s="105" t="s">
        <v>1755</v>
      </c>
      <c r="C175" s="105" t="s">
        <v>1861</v>
      </c>
      <c r="D175" s="93" t="s">
        <v>1382</v>
      </c>
      <c r="E175" s="105" t="s">
        <v>617</v>
      </c>
      <c r="F175" s="93" t="s">
        <v>1882</v>
      </c>
      <c r="G175" s="79" t="s">
        <v>1883</v>
      </c>
    </row>
    <row r="176" spans="1:7" ht="21.75">
      <c r="A176" s="69">
        <v>173</v>
      </c>
      <c r="B176" s="105" t="s">
        <v>1755</v>
      </c>
      <c r="C176" s="105" t="s">
        <v>1861</v>
      </c>
      <c r="D176" s="93" t="s">
        <v>1884</v>
      </c>
      <c r="E176" s="105" t="s">
        <v>21</v>
      </c>
      <c r="F176" s="93" t="s">
        <v>1885</v>
      </c>
      <c r="G176" s="79" t="s">
        <v>1886</v>
      </c>
    </row>
    <row r="177" spans="1:7">
      <c r="A177" s="69">
        <v>174</v>
      </c>
      <c r="B177" s="105" t="s">
        <v>1755</v>
      </c>
      <c r="C177" s="105" t="s">
        <v>1861</v>
      </c>
      <c r="D177" s="93" t="s">
        <v>1818</v>
      </c>
      <c r="E177" s="105" t="s">
        <v>21</v>
      </c>
      <c r="F177" s="93" t="s">
        <v>1887</v>
      </c>
      <c r="G177" s="79" t="s">
        <v>1876</v>
      </c>
    </row>
    <row r="178" spans="1:7">
      <c r="A178" s="70">
        <v>175</v>
      </c>
      <c r="B178" s="106" t="s">
        <v>1501</v>
      </c>
      <c r="C178" s="106" t="s">
        <v>1857</v>
      </c>
      <c r="D178" s="99" t="s">
        <v>1262</v>
      </c>
      <c r="E178" s="106" t="s">
        <v>545</v>
      </c>
      <c r="F178" s="99" t="s">
        <v>1265</v>
      </c>
      <c r="G178" s="85" t="s">
        <v>1888</v>
      </c>
    </row>
    <row r="179" spans="1:7">
      <c r="A179" s="70">
        <v>176</v>
      </c>
      <c r="B179" s="106" t="s">
        <v>1501</v>
      </c>
      <c r="C179" s="106" t="s">
        <v>1857</v>
      </c>
      <c r="D179" s="99" t="s">
        <v>1275</v>
      </c>
      <c r="E179" s="106" t="s">
        <v>21</v>
      </c>
      <c r="F179" s="99" t="s">
        <v>1278</v>
      </c>
      <c r="G179" s="85" t="s">
        <v>1888</v>
      </c>
    </row>
    <row r="180" spans="1:7" ht="43.5">
      <c r="A180" s="70">
        <v>177</v>
      </c>
      <c r="B180" s="106" t="s">
        <v>1501</v>
      </c>
      <c r="C180" s="106" t="s">
        <v>1857</v>
      </c>
      <c r="D180" s="99" t="s">
        <v>1288</v>
      </c>
      <c r="E180" s="106" t="s">
        <v>1290</v>
      </c>
      <c r="F180" s="99" t="s">
        <v>1289</v>
      </c>
      <c r="G180" s="85" t="s">
        <v>1888</v>
      </c>
    </row>
    <row r="181" spans="1:7" ht="21.75">
      <c r="A181" s="70">
        <v>178</v>
      </c>
      <c r="B181" s="106" t="s">
        <v>1501</v>
      </c>
      <c r="C181" s="106" t="s">
        <v>1857</v>
      </c>
      <c r="D181" s="99" t="s">
        <v>1301</v>
      </c>
      <c r="E181" s="106" t="s">
        <v>617</v>
      </c>
      <c r="F181" s="99" t="s">
        <v>1303</v>
      </c>
      <c r="G181" s="85" t="s">
        <v>1888</v>
      </c>
    </row>
    <row r="182" spans="1:7" ht="21.75">
      <c r="A182" s="70">
        <v>179</v>
      </c>
      <c r="B182" s="106" t="s">
        <v>1501</v>
      </c>
      <c r="C182" s="106" t="s">
        <v>1857</v>
      </c>
      <c r="D182" s="99" t="s">
        <v>1310</v>
      </c>
      <c r="E182" s="106" t="s">
        <v>653</v>
      </c>
      <c r="F182" s="99" t="s">
        <v>1311</v>
      </c>
      <c r="G182" s="85" t="s">
        <v>1889</v>
      </c>
    </row>
    <row r="183" spans="1:7">
      <c r="A183" s="70">
        <v>180</v>
      </c>
      <c r="B183" s="106" t="s">
        <v>1501</v>
      </c>
      <c r="C183" s="106" t="s">
        <v>1857</v>
      </c>
      <c r="D183" s="99" t="s">
        <v>1312</v>
      </c>
      <c r="E183" s="106" t="s">
        <v>1314</v>
      </c>
      <c r="F183" s="99" t="s">
        <v>1313</v>
      </c>
      <c r="G183" s="85" t="s">
        <v>1890</v>
      </c>
    </row>
    <row r="184" spans="1:7" ht="21.75">
      <c r="A184" s="70">
        <v>181</v>
      </c>
      <c r="B184" s="106" t="s">
        <v>1501</v>
      </c>
      <c r="C184" s="106" t="s">
        <v>1861</v>
      </c>
      <c r="D184" s="99" t="s">
        <v>1891</v>
      </c>
      <c r="E184" s="106" t="s">
        <v>247</v>
      </c>
      <c r="F184" s="99" t="s">
        <v>1892</v>
      </c>
      <c r="G184" s="85" t="s">
        <v>1888</v>
      </c>
    </row>
    <row r="185" spans="1:7">
      <c r="A185" s="70">
        <v>182</v>
      </c>
      <c r="B185" s="106" t="s">
        <v>1501</v>
      </c>
      <c r="C185" s="106" t="s">
        <v>1861</v>
      </c>
      <c r="D185" s="99" t="s">
        <v>1893</v>
      </c>
      <c r="E185" s="106" t="s">
        <v>21</v>
      </c>
      <c r="F185" s="99" t="s">
        <v>1894</v>
      </c>
      <c r="G185" s="85" t="s">
        <v>1889</v>
      </c>
    </row>
    <row r="186" spans="1:7" ht="21.75">
      <c r="A186" s="70">
        <v>183</v>
      </c>
      <c r="B186" s="106" t="s">
        <v>1501</v>
      </c>
      <c r="C186" s="106" t="s">
        <v>1861</v>
      </c>
      <c r="D186" s="99" t="s">
        <v>1748</v>
      </c>
      <c r="E186" s="106" t="s">
        <v>21</v>
      </c>
      <c r="F186" s="99" t="s">
        <v>1895</v>
      </c>
      <c r="G186" s="85" t="s">
        <v>1888</v>
      </c>
    </row>
    <row r="187" spans="1:7" ht="32.25">
      <c r="A187" s="70">
        <v>184</v>
      </c>
      <c r="B187" s="106" t="s">
        <v>1501</v>
      </c>
      <c r="C187" s="106" t="s">
        <v>1861</v>
      </c>
      <c r="D187" s="99" t="s">
        <v>1786</v>
      </c>
      <c r="E187" s="106" t="s">
        <v>21</v>
      </c>
      <c r="F187" s="99" t="s">
        <v>1896</v>
      </c>
      <c r="G187" s="85" t="s">
        <v>1888</v>
      </c>
    </row>
    <row r="188" spans="1:7" ht="21.75">
      <c r="A188" s="70">
        <v>185</v>
      </c>
      <c r="B188" s="106" t="s">
        <v>1501</v>
      </c>
      <c r="C188" s="106" t="s">
        <v>1861</v>
      </c>
      <c r="D188" s="99" t="s">
        <v>1897</v>
      </c>
      <c r="E188" s="106" t="s">
        <v>21</v>
      </c>
      <c r="F188" s="99" t="s">
        <v>1898</v>
      </c>
      <c r="G188" s="85" t="s">
        <v>1899</v>
      </c>
    </row>
    <row r="189" spans="1:7" ht="32.25">
      <c r="A189" s="70">
        <v>186</v>
      </c>
      <c r="B189" s="106" t="s">
        <v>1501</v>
      </c>
      <c r="C189" s="106" t="s">
        <v>1861</v>
      </c>
      <c r="D189" s="99" t="s">
        <v>1900</v>
      </c>
      <c r="E189" s="106" t="s">
        <v>1901</v>
      </c>
      <c r="F189" s="99" t="s">
        <v>1902</v>
      </c>
      <c r="G189" s="85" t="s">
        <v>1888</v>
      </c>
    </row>
    <row r="190" spans="1:7" ht="32.25">
      <c r="A190" s="70">
        <v>187</v>
      </c>
      <c r="B190" s="106" t="s">
        <v>1501</v>
      </c>
      <c r="C190" s="106" t="s">
        <v>1861</v>
      </c>
      <c r="D190" s="99" t="s">
        <v>1382</v>
      </c>
      <c r="E190" s="106" t="s">
        <v>617</v>
      </c>
      <c r="F190" s="99" t="s">
        <v>1903</v>
      </c>
      <c r="G190" s="85" t="s">
        <v>1888</v>
      </c>
    </row>
    <row r="191" spans="1:7" ht="21.75">
      <c r="A191" s="70">
        <v>188</v>
      </c>
      <c r="B191" s="106" t="s">
        <v>1501</v>
      </c>
      <c r="C191" s="106" t="s">
        <v>1861</v>
      </c>
      <c r="D191" s="99" t="s">
        <v>1904</v>
      </c>
      <c r="E191" s="106" t="s">
        <v>21</v>
      </c>
      <c r="F191" s="99" t="s">
        <v>1905</v>
      </c>
      <c r="G191" s="85" t="s">
        <v>1906</v>
      </c>
    </row>
    <row r="192" spans="1:7" ht="21.75">
      <c r="A192" s="75">
        <v>189</v>
      </c>
      <c r="B192" s="114" t="s">
        <v>1501</v>
      </c>
      <c r="C192" s="114" t="s">
        <v>1861</v>
      </c>
      <c r="D192" s="102" t="s">
        <v>1907</v>
      </c>
      <c r="E192" s="114" t="s">
        <v>1491</v>
      </c>
      <c r="F192" s="102" t="s">
        <v>1908</v>
      </c>
      <c r="G192" s="88" t="s">
        <v>1888</v>
      </c>
    </row>
    <row r="193" spans="1:7">
      <c r="A193" s="67">
        <v>190</v>
      </c>
      <c r="B193" s="103" t="s">
        <v>1447</v>
      </c>
      <c r="C193" s="103" t="s">
        <v>1909</v>
      </c>
      <c r="D193" s="97" t="s">
        <v>1910</v>
      </c>
      <c r="E193" s="103" t="s">
        <v>720</v>
      </c>
      <c r="F193" s="97" t="s">
        <v>1911</v>
      </c>
      <c r="G193" s="83" t="s">
        <v>1736</v>
      </c>
    </row>
    <row r="194" spans="1:7" ht="21.75">
      <c r="A194" s="67">
        <v>191</v>
      </c>
      <c r="B194" s="112" t="s">
        <v>1447</v>
      </c>
      <c r="C194" s="112" t="s">
        <v>1909</v>
      </c>
      <c r="D194" s="97" t="s">
        <v>1912</v>
      </c>
      <c r="E194" s="112" t="s">
        <v>708</v>
      </c>
      <c r="F194" s="97" t="s">
        <v>1913</v>
      </c>
      <c r="G194" s="83" t="s">
        <v>1736</v>
      </c>
    </row>
    <row r="195" spans="1:7" ht="21.75">
      <c r="A195" s="67">
        <v>192</v>
      </c>
      <c r="B195" s="112" t="s">
        <v>1447</v>
      </c>
      <c r="C195" s="112" t="s">
        <v>1909</v>
      </c>
      <c r="D195" s="97" t="s">
        <v>1914</v>
      </c>
      <c r="E195" s="112" t="s">
        <v>247</v>
      </c>
      <c r="F195" s="97" t="s">
        <v>1915</v>
      </c>
      <c r="G195" s="83" t="s">
        <v>1736</v>
      </c>
    </row>
    <row r="196" spans="1:7" ht="53.25">
      <c r="A196" s="67">
        <v>193</v>
      </c>
      <c r="B196" s="112" t="s">
        <v>1447</v>
      </c>
      <c r="C196" s="112" t="s">
        <v>1909</v>
      </c>
      <c r="D196" s="97" t="s">
        <v>1916</v>
      </c>
      <c r="E196" s="112" t="s">
        <v>1246</v>
      </c>
      <c r="F196" s="97" t="s">
        <v>1917</v>
      </c>
      <c r="G196" s="83" t="s">
        <v>1736</v>
      </c>
    </row>
    <row r="197" spans="1:7" ht="21.75">
      <c r="A197" s="69">
        <v>194</v>
      </c>
      <c r="B197" s="105" t="s">
        <v>1755</v>
      </c>
      <c r="C197" s="105" t="s">
        <v>1909</v>
      </c>
      <c r="D197" s="93" t="s">
        <v>1288</v>
      </c>
      <c r="E197" s="105" t="s">
        <v>1290</v>
      </c>
      <c r="F197" s="93" t="s">
        <v>1918</v>
      </c>
      <c r="G197" s="79" t="s">
        <v>1876</v>
      </c>
    </row>
    <row r="198" spans="1:7" ht="32.25">
      <c r="A198" s="69">
        <v>195</v>
      </c>
      <c r="B198" s="105" t="s">
        <v>1755</v>
      </c>
      <c r="C198" s="105" t="s">
        <v>1909</v>
      </c>
      <c r="D198" s="93" t="s">
        <v>1748</v>
      </c>
      <c r="E198" s="105" t="s">
        <v>21</v>
      </c>
      <c r="F198" s="93" t="s">
        <v>1919</v>
      </c>
      <c r="G198" s="79" t="s">
        <v>1920</v>
      </c>
    </row>
    <row r="199" spans="1:7" ht="21.75">
      <c r="A199" s="70">
        <v>197</v>
      </c>
      <c r="B199" s="106" t="s">
        <v>1501</v>
      </c>
      <c r="C199" s="106" t="s">
        <v>1909</v>
      </c>
      <c r="D199" s="99" t="s">
        <v>1474</v>
      </c>
      <c r="E199" s="106" t="s">
        <v>708</v>
      </c>
      <c r="F199" s="99" t="s">
        <v>1921</v>
      </c>
      <c r="G199" s="85" t="s">
        <v>1888</v>
      </c>
    </row>
    <row r="200" spans="1:7">
      <c r="A200" s="70">
        <v>198</v>
      </c>
      <c r="B200" s="106" t="s">
        <v>1501</v>
      </c>
      <c r="C200" s="106" t="s">
        <v>1909</v>
      </c>
      <c r="D200" s="99" t="s">
        <v>1922</v>
      </c>
      <c r="E200" s="106" t="s">
        <v>55</v>
      </c>
      <c r="F200" s="99" t="s">
        <v>1923</v>
      </c>
      <c r="G200" s="85" t="s">
        <v>1888</v>
      </c>
    </row>
    <row r="201" spans="1:7" ht="21.75">
      <c r="A201" s="70">
        <v>199</v>
      </c>
      <c r="B201" s="106" t="s">
        <v>1501</v>
      </c>
      <c r="C201" s="106" t="s">
        <v>1909</v>
      </c>
      <c r="D201" s="99" t="s">
        <v>1924</v>
      </c>
      <c r="E201" s="106" t="s">
        <v>1925</v>
      </c>
      <c r="F201" s="99" t="s">
        <v>1926</v>
      </c>
      <c r="G201" s="85" t="s">
        <v>1888</v>
      </c>
    </row>
    <row r="202" spans="1:7">
      <c r="A202" s="70">
        <v>200</v>
      </c>
      <c r="B202" s="106" t="s">
        <v>1501</v>
      </c>
      <c r="C202" s="106" t="s">
        <v>1909</v>
      </c>
      <c r="D202" s="99" t="s">
        <v>1927</v>
      </c>
      <c r="E202" s="106" t="s">
        <v>21</v>
      </c>
      <c r="F202" s="99" t="s">
        <v>1928</v>
      </c>
      <c r="G202" s="85" t="s">
        <v>1888</v>
      </c>
    </row>
    <row r="203" spans="1:7" ht="21.75">
      <c r="A203" s="70">
        <v>201</v>
      </c>
      <c r="B203" s="106" t="s">
        <v>1501</v>
      </c>
      <c r="C203" s="106" t="s">
        <v>1909</v>
      </c>
      <c r="D203" s="99" t="s">
        <v>1929</v>
      </c>
      <c r="E203" s="106" t="s">
        <v>21</v>
      </c>
      <c r="F203" s="99" t="s">
        <v>1930</v>
      </c>
      <c r="G203" s="85" t="s">
        <v>1888</v>
      </c>
    </row>
    <row r="204" spans="1:7" ht="32.25">
      <c r="A204" s="70">
        <v>202</v>
      </c>
      <c r="B204" s="106" t="s">
        <v>1501</v>
      </c>
      <c r="C204" s="106" t="s">
        <v>1909</v>
      </c>
      <c r="D204" s="99" t="s">
        <v>1850</v>
      </c>
      <c r="E204" s="106" t="s">
        <v>1491</v>
      </c>
      <c r="F204" s="99" t="s">
        <v>1931</v>
      </c>
      <c r="G204" s="85" t="s">
        <v>1888</v>
      </c>
    </row>
    <row r="205" spans="1:7" ht="21.75">
      <c r="A205" s="70">
        <v>203</v>
      </c>
      <c r="B205" s="106" t="s">
        <v>1501</v>
      </c>
      <c r="C205" s="106" t="s">
        <v>1909</v>
      </c>
      <c r="D205" s="99" t="s">
        <v>1803</v>
      </c>
      <c r="E205" s="106" t="s">
        <v>147</v>
      </c>
      <c r="F205" s="99" t="s">
        <v>1932</v>
      </c>
      <c r="G205" s="85" t="s">
        <v>1888</v>
      </c>
    </row>
    <row r="206" spans="1:7" ht="32.25">
      <c r="A206" s="70">
        <v>204</v>
      </c>
      <c r="B206" s="106" t="s">
        <v>1501</v>
      </c>
      <c r="C206" s="106" t="s">
        <v>1909</v>
      </c>
      <c r="D206" s="99" t="s">
        <v>1933</v>
      </c>
      <c r="E206" s="106" t="s">
        <v>21</v>
      </c>
      <c r="F206" s="99" t="s">
        <v>1934</v>
      </c>
      <c r="G206" s="85" t="s">
        <v>1888</v>
      </c>
    </row>
    <row r="207" spans="1:7" ht="43.5">
      <c r="A207" s="70">
        <v>205</v>
      </c>
      <c r="B207" s="106" t="s">
        <v>1501</v>
      </c>
      <c r="C207" s="106" t="s">
        <v>1909</v>
      </c>
      <c r="D207" s="99" t="s">
        <v>1935</v>
      </c>
      <c r="E207" s="106" t="s">
        <v>39</v>
      </c>
      <c r="F207" s="99" t="s">
        <v>1936</v>
      </c>
      <c r="G207" s="85" t="s">
        <v>1888</v>
      </c>
    </row>
    <row r="208" spans="1:7" ht="21.75">
      <c r="A208" s="70">
        <v>206</v>
      </c>
      <c r="B208" s="106" t="s">
        <v>1501</v>
      </c>
      <c r="C208" s="106" t="s">
        <v>1909</v>
      </c>
      <c r="D208" s="99" t="s">
        <v>1937</v>
      </c>
      <c r="E208" s="106" t="s">
        <v>653</v>
      </c>
      <c r="F208" s="99" t="s">
        <v>1938</v>
      </c>
      <c r="G208" s="85" t="s">
        <v>1888</v>
      </c>
    </row>
    <row r="209" spans="1:7" ht="32.25">
      <c r="A209" s="75">
        <v>207</v>
      </c>
      <c r="B209" s="114" t="s">
        <v>1501</v>
      </c>
      <c r="C209" s="114" t="s">
        <v>1909</v>
      </c>
      <c r="D209" s="102" t="s">
        <v>1939</v>
      </c>
      <c r="E209" s="114" t="s">
        <v>39</v>
      </c>
      <c r="F209" s="102" t="s">
        <v>1940</v>
      </c>
      <c r="G209" s="88" t="s">
        <v>1888</v>
      </c>
    </row>
  </sheetData>
  <mergeCells count="1">
    <mergeCell ref="A1:G1"/>
  </mergeCells>
  <pageMargins left="0.7" right="0.7" top="0.75" bottom="0.75" header="0.3" footer="0.3"/>
  <pageSetup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6F627-E384-453D-8566-4AA7817FFA9B}">
  <sheetPr>
    <pageSetUpPr fitToPage="1"/>
  </sheetPr>
  <dimension ref="A1:G178"/>
  <sheetViews>
    <sheetView workbookViewId="0">
      <selection sqref="A1:G1"/>
    </sheetView>
  </sheetViews>
  <sheetFormatPr defaultRowHeight="15"/>
  <cols>
    <col min="1" max="1" width="4.140625" style="115" bestFit="1" customWidth="1"/>
    <col min="2" max="2" width="14" style="115" customWidth="1"/>
    <col min="3" max="3" width="12.140625" style="115" bestFit="1" customWidth="1"/>
    <col min="4" max="4" width="34.7109375" style="116" customWidth="1"/>
    <col min="5" max="5" width="19.85546875" style="115" bestFit="1" customWidth="1"/>
    <col min="6" max="6" width="38.42578125" style="116" customWidth="1"/>
    <col min="7" max="7" width="16.85546875" style="117" customWidth="1"/>
  </cols>
  <sheetData>
    <row r="1" spans="1:7">
      <c r="A1" s="283" t="s">
        <v>1941</v>
      </c>
      <c r="B1" s="283"/>
      <c r="C1" s="283"/>
      <c r="D1" s="283"/>
      <c r="E1" s="283"/>
      <c r="F1" s="283"/>
      <c r="G1" s="283"/>
    </row>
    <row r="2" spans="1:7">
      <c r="A2" s="118"/>
      <c r="B2" s="118"/>
      <c r="C2" s="118"/>
      <c r="D2" s="119"/>
      <c r="E2" s="118"/>
      <c r="F2" s="119"/>
      <c r="G2" s="147"/>
    </row>
    <row r="3" spans="1:7" ht="21.75">
      <c r="A3" s="120" t="s">
        <v>1321</v>
      </c>
      <c r="B3" s="121" t="s">
        <v>1441</v>
      </c>
      <c r="C3" s="121" t="s">
        <v>1442</v>
      </c>
      <c r="D3" s="121" t="s">
        <v>1443</v>
      </c>
      <c r="E3" s="121" t="s">
        <v>1444</v>
      </c>
      <c r="F3" s="64" t="s">
        <v>1445</v>
      </c>
      <c r="G3" s="148" t="s">
        <v>1446</v>
      </c>
    </row>
    <row r="4" spans="1:7">
      <c r="A4" s="122">
        <v>1</v>
      </c>
      <c r="B4" s="123" t="s">
        <v>1942</v>
      </c>
      <c r="C4" s="123">
        <v>2021</v>
      </c>
      <c r="D4" s="124" t="s">
        <v>18</v>
      </c>
      <c r="E4" s="123" t="s">
        <v>21</v>
      </c>
      <c r="F4" s="125" t="s">
        <v>1943</v>
      </c>
      <c r="G4" s="149" t="s">
        <v>1944</v>
      </c>
    </row>
    <row r="5" spans="1:7" ht="21.75">
      <c r="A5" s="126">
        <v>2</v>
      </c>
      <c r="B5" s="127" t="s">
        <v>1942</v>
      </c>
      <c r="C5" s="127">
        <v>2021</v>
      </c>
      <c r="D5" s="125" t="s">
        <v>28</v>
      </c>
      <c r="E5" s="127" t="s">
        <v>31</v>
      </c>
      <c r="F5" s="125" t="s">
        <v>1945</v>
      </c>
      <c r="G5" s="149" t="s">
        <v>1920</v>
      </c>
    </row>
    <row r="6" spans="1:7" ht="43.5">
      <c r="A6" s="126">
        <v>3</v>
      </c>
      <c r="B6" s="127" t="s">
        <v>1942</v>
      </c>
      <c r="C6" s="127">
        <v>2021</v>
      </c>
      <c r="D6" s="125" t="s">
        <v>1946</v>
      </c>
      <c r="E6" s="127" t="s">
        <v>39</v>
      </c>
      <c r="F6" s="125" t="s">
        <v>1947</v>
      </c>
      <c r="G6" s="149" t="s">
        <v>1948</v>
      </c>
    </row>
    <row r="7" spans="1:7" ht="32.25">
      <c r="A7" s="126">
        <v>4</v>
      </c>
      <c r="B7" s="127" t="s">
        <v>1942</v>
      </c>
      <c r="C7" s="127">
        <v>2021</v>
      </c>
      <c r="D7" s="125" t="s">
        <v>45</v>
      </c>
      <c r="E7" s="127" t="s">
        <v>1314</v>
      </c>
      <c r="F7" s="125" t="s">
        <v>46</v>
      </c>
      <c r="G7" s="149" t="s">
        <v>1949</v>
      </c>
    </row>
    <row r="8" spans="1:7" ht="21.75">
      <c r="A8" s="126">
        <v>5</v>
      </c>
      <c r="B8" s="127" t="s">
        <v>1942</v>
      </c>
      <c r="C8" s="127">
        <v>2021</v>
      </c>
      <c r="D8" s="125" t="s">
        <v>52</v>
      </c>
      <c r="E8" s="127" t="s">
        <v>55</v>
      </c>
      <c r="F8" s="125" t="s">
        <v>53</v>
      </c>
      <c r="G8" s="149" t="s">
        <v>1950</v>
      </c>
    </row>
    <row r="9" spans="1:7">
      <c r="A9" s="126">
        <v>6</v>
      </c>
      <c r="B9" s="127" t="s">
        <v>1942</v>
      </c>
      <c r="C9" s="127">
        <v>2021</v>
      </c>
      <c r="D9" s="125" t="s">
        <v>1951</v>
      </c>
      <c r="E9" s="127" t="s">
        <v>21</v>
      </c>
      <c r="F9" s="125" t="s">
        <v>61</v>
      </c>
      <c r="G9" s="149" t="s">
        <v>1952</v>
      </c>
    </row>
    <row r="10" spans="1:7" ht="43.5">
      <c r="A10" s="126">
        <v>7</v>
      </c>
      <c r="B10" s="127" t="s">
        <v>1942</v>
      </c>
      <c r="C10" s="127">
        <v>2021</v>
      </c>
      <c r="D10" s="125" t="s">
        <v>66</v>
      </c>
      <c r="E10" s="127" t="s">
        <v>69</v>
      </c>
      <c r="F10" s="125" t="s">
        <v>1953</v>
      </c>
      <c r="G10" s="149" t="s">
        <v>1954</v>
      </c>
    </row>
    <row r="11" spans="1:7">
      <c r="A11" s="126">
        <v>8</v>
      </c>
      <c r="B11" s="127" t="s">
        <v>1942</v>
      </c>
      <c r="C11" s="127">
        <v>2021</v>
      </c>
      <c r="D11" s="125" t="s">
        <v>74</v>
      </c>
      <c r="E11" s="127" t="s">
        <v>76</v>
      </c>
      <c r="F11" s="125" t="s">
        <v>75</v>
      </c>
      <c r="G11" s="149" t="s">
        <v>1955</v>
      </c>
    </row>
    <row r="12" spans="1:7" ht="43.5">
      <c r="A12" s="126">
        <v>9</v>
      </c>
      <c r="B12" s="127" t="s">
        <v>1942</v>
      </c>
      <c r="C12" s="127">
        <v>2021</v>
      </c>
      <c r="D12" s="125" t="s">
        <v>81</v>
      </c>
      <c r="E12" s="127" t="s">
        <v>83</v>
      </c>
      <c r="F12" s="125" t="s">
        <v>82</v>
      </c>
      <c r="G12" s="149" t="s">
        <v>1956</v>
      </c>
    </row>
    <row r="13" spans="1:7" ht="32.25">
      <c r="A13" s="126">
        <v>10</v>
      </c>
      <c r="B13" s="127" t="s">
        <v>1942</v>
      </c>
      <c r="C13" s="127">
        <v>2021</v>
      </c>
      <c r="D13" s="125" t="s">
        <v>88</v>
      </c>
      <c r="E13" s="127" t="s">
        <v>247</v>
      </c>
      <c r="F13" s="125" t="s">
        <v>89</v>
      </c>
      <c r="G13" s="149" t="s">
        <v>1461</v>
      </c>
    </row>
    <row r="14" spans="1:7" ht="32.25">
      <c r="A14" s="126">
        <v>11</v>
      </c>
      <c r="B14" s="127" t="s">
        <v>1942</v>
      </c>
      <c r="C14" s="127">
        <v>2021</v>
      </c>
      <c r="D14" s="125" t="s">
        <v>96</v>
      </c>
      <c r="E14" s="127" t="s">
        <v>21</v>
      </c>
      <c r="F14" s="125" t="s">
        <v>97</v>
      </c>
      <c r="G14" s="149" t="s">
        <v>1461</v>
      </c>
    </row>
    <row r="15" spans="1:7" ht="21.75">
      <c r="A15" s="126">
        <v>12</v>
      </c>
      <c r="B15" s="127" t="s">
        <v>1942</v>
      </c>
      <c r="C15" s="127">
        <v>2021</v>
      </c>
      <c r="D15" s="125" t="s">
        <v>101</v>
      </c>
      <c r="E15" s="127" t="s">
        <v>39</v>
      </c>
      <c r="F15" s="125" t="s">
        <v>102</v>
      </c>
      <c r="G15" s="149" t="s">
        <v>1957</v>
      </c>
    </row>
    <row r="16" spans="1:7" ht="21.75">
      <c r="A16" s="126">
        <v>13</v>
      </c>
      <c r="B16" s="127" t="s">
        <v>1942</v>
      </c>
      <c r="C16" s="127">
        <v>2021</v>
      </c>
      <c r="D16" s="125" t="s">
        <v>108</v>
      </c>
      <c r="E16" s="127" t="s">
        <v>111</v>
      </c>
      <c r="F16" s="125" t="s">
        <v>1958</v>
      </c>
      <c r="G16" s="149" t="s">
        <v>1457</v>
      </c>
    </row>
    <row r="17" spans="1:7" ht="43.5">
      <c r="A17" s="126">
        <v>14</v>
      </c>
      <c r="B17" s="127" t="s">
        <v>1942</v>
      </c>
      <c r="C17" s="127">
        <v>2021</v>
      </c>
      <c r="D17" s="125" t="s">
        <v>115</v>
      </c>
      <c r="E17" s="127" t="s">
        <v>117</v>
      </c>
      <c r="F17" s="125" t="s">
        <v>1959</v>
      </c>
      <c r="G17" s="149" t="s">
        <v>1461</v>
      </c>
    </row>
    <row r="18" spans="1:7" ht="53.25">
      <c r="A18" s="126">
        <v>15</v>
      </c>
      <c r="B18" s="127" t="s">
        <v>1942</v>
      </c>
      <c r="C18" s="127">
        <v>2021</v>
      </c>
      <c r="D18" s="125" t="s">
        <v>123</v>
      </c>
      <c r="E18" s="127" t="s">
        <v>1599</v>
      </c>
      <c r="F18" s="125" t="s">
        <v>1960</v>
      </c>
      <c r="G18" s="149" t="s">
        <v>1961</v>
      </c>
    </row>
    <row r="19" spans="1:7" ht="32.25">
      <c r="A19" s="126">
        <v>16</v>
      </c>
      <c r="B19" s="127" t="s">
        <v>1942</v>
      </c>
      <c r="C19" s="127">
        <v>2021</v>
      </c>
      <c r="D19" s="125" t="s">
        <v>130</v>
      </c>
      <c r="E19" s="127" t="s">
        <v>247</v>
      </c>
      <c r="F19" s="125" t="s">
        <v>131</v>
      </c>
      <c r="G19" s="149" t="s">
        <v>1860</v>
      </c>
    </row>
    <row r="20" spans="1:7">
      <c r="A20" s="126">
        <v>17</v>
      </c>
      <c r="B20" s="127" t="s">
        <v>1942</v>
      </c>
      <c r="C20" s="127">
        <v>2021</v>
      </c>
      <c r="D20" s="125" t="s">
        <v>138</v>
      </c>
      <c r="E20" s="127" t="s">
        <v>125</v>
      </c>
      <c r="F20" s="125" t="s">
        <v>139</v>
      </c>
      <c r="G20" s="149" t="s">
        <v>1962</v>
      </c>
    </row>
    <row r="21" spans="1:7">
      <c r="A21" s="126">
        <v>18</v>
      </c>
      <c r="B21" s="127" t="s">
        <v>1942</v>
      </c>
      <c r="C21" s="127">
        <v>2021</v>
      </c>
      <c r="D21" s="125" t="s">
        <v>144</v>
      </c>
      <c r="E21" s="127" t="s">
        <v>147</v>
      </c>
      <c r="F21" s="125" t="s">
        <v>145</v>
      </c>
      <c r="G21" s="149" t="s">
        <v>1461</v>
      </c>
    </row>
    <row r="22" spans="1:7" ht="21.75">
      <c r="A22" s="126">
        <v>19</v>
      </c>
      <c r="B22" s="127" t="s">
        <v>1942</v>
      </c>
      <c r="C22" s="127">
        <v>2021</v>
      </c>
      <c r="D22" s="125" t="s">
        <v>152</v>
      </c>
      <c r="E22" s="127" t="s">
        <v>21</v>
      </c>
      <c r="F22" s="125" t="s">
        <v>153</v>
      </c>
      <c r="G22" s="149" t="s">
        <v>1963</v>
      </c>
    </row>
    <row r="23" spans="1:7">
      <c r="A23" s="126">
        <v>20</v>
      </c>
      <c r="B23" s="127" t="s">
        <v>1942</v>
      </c>
      <c r="C23" s="127">
        <v>2021</v>
      </c>
      <c r="D23" s="125" t="s">
        <v>1964</v>
      </c>
      <c r="E23" s="127" t="s">
        <v>160</v>
      </c>
      <c r="F23" s="125" t="s">
        <v>159</v>
      </c>
      <c r="G23" s="149" t="s">
        <v>1965</v>
      </c>
    </row>
    <row r="24" spans="1:7" ht="43.5">
      <c r="A24" s="128">
        <v>21</v>
      </c>
      <c r="B24" s="129" t="s">
        <v>1942</v>
      </c>
      <c r="C24" s="129">
        <v>2022</v>
      </c>
      <c r="D24" s="130" t="s">
        <v>166</v>
      </c>
      <c r="E24" s="129" t="s">
        <v>168</v>
      </c>
      <c r="F24" s="130" t="s">
        <v>167</v>
      </c>
      <c r="G24" s="150" t="s">
        <v>1966</v>
      </c>
    </row>
    <row r="25" spans="1:7">
      <c r="A25" s="128">
        <v>22</v>
      </c>
      <c r="B25" s="129" t="s">
        <v>1942</v>
      </c>
      <c r="C25" s="129">
        <v>2022</v>
      </c>
      <c r="D25" s="130" t="s">
        <v>172</v>
      </c>
      <c r="E25" s="129" t="s">
        <v>174</v>
      </c>
      <c r="F25" s="130" t="s">
        <v>173</v>
      </c>
      <c r="G25" s="150" t="s">
        <v>1967</v>
      </c>
    </row>
    <row r="26" spans="1:7">
      <c r="A26" s="128">
        <v>23</v>
      </c>
      <c r="B26" s="129" t="s">
        <v>1942</v>
      </c>
      <c r="C26" s="129">
        <v>2022</v>
      </c>
      <c r="D26" s="130" t="s">
        <v>179</v>
      </c>
      <c r="E26" s="129" t="s">
        <v>147</v>
      </c>
      <c r="F26" s="130" t="s">
        <v>180</v>
      </c>
      <c r="G26" s="150" t="s">
        <v>1968</v>
      </c>
    </row>
    <row r="27" spans="1:7" ht="21.75">
      <c r="A27" s="128">
        <v>24</v>
      </c>
      <c r="B27" s="129" t="s">
        <v>1942</v>
      </c>
      <c r="C27" s="129">
        <v>2022</v>
      </c>
      <c r="D27" s="130" t="s">
        <v>1969</v>
      </c>
      <c r="E27" s="129" t="s">
        <v>545</v>
      </c>
      <c r="F27" s="130" t="s">
        <v>187</v>
      </c>
      <c r="G27" s="150" t="s">
        <v>1541</v>
      </c>
    </row>
    <row r="28" spans="1:7" ht="21.75">
      <c r="A28" s="128">
        <v>25</v>
      </c>
      <c r="B28" s="129" t="s">
        <v>1942</v>
      </c>
      <c r="C28" s="129">
        <v>2022</v>
      </c>
      <c r="D28" s="130" t="s">
        <v>194</v>
      </c>
      <c r="E28" s="129" t="s">
        <v>653</v>
      </c>
      <c r="F28" s="130" t="s">
        <v>195</v>
      </c>
      <c r="G28" s="150" t="s">
        <v>1970</v>
      </c>
    </row>
    <row r="29" spans="1:7">
      <c r="A29" s="128">
        <v>26</v>
      </c>
      <c r="B29" s="129" t="s">
        <v>1942</v>
      </c>
      <c r="C29" s="129">
        <v>2022</v>
      </c>
      <c r="D29" s="130" t="s">
        <v>201</v>
      </c>
      <c r="E29" s="129" t="s">
        <v>39</v>
      </c>
      <c r="F29" s="130" t="s">
        <v>202</v>
      </c>
      <c r="G29" s="150" t="s">
        <v>1971</v>
      </c>
    </row>
    <row r="30" spans="1:7" ht="32.25">
      <c r="A30" s="128">
        <v>27</v>
      </c>
      <c r="B30" s="129" t="s">
        <v>1942</v>
      </c>
      <c r="C30" s="129">
        <v>2022</v>
      </c>
      <c r="D30" s="130" t="s">
        <v>207</v>
      </c>
      <c r="E30" s="129" t="s">
        <v>653</v>
      </c>
      <c r="F30" s="130" t="s">
        <v>208</v>
      </c>
      <c r="G30" s="150" t="s">
        <v>1972</v>
      </c>
    </row>
    <row r="31" spans="1:7" ht="32.25">
      <c r="A31" s="128">
        <v>28</v>
      </c>
      <c r="B31" s="129" t="s">
        <v>1942</v>
      </c>
      <c r="C31" s="129">
        <v>2022</v>
      </c>
      <c r="D31" s="130" t="s">
        <v>213</v>
      </c>
      <c r="E31" s="129" t="s">
        <v>215</v>
      </c>
      <c r="F31" s="130" t="s">
        <v>214</v>
      </c>
      <c r="G31" s="150" t="s">
        <v>1973</v>
      </c>
    </row>
    <row r="32" spans="1:7" ht="21.75">
      <c r="A32" s="128">
        <v>29</v>
      </c>
      <c r="B32" s="129" t="s">
        <v>1942</v>
      </c>
      <c r="C32" s="129">
        <v>2022</v>
      </c>
      <c r="D32" s="130" t="s">
        <v>219</v>
      </c>
      <c r="E32" s="129" t="s">
        <v>21</v>
      </c>
      <c r="F32" s="130" t="s">
        <v>220</v>
      </c>
      <c r="G32" s="150" t="s">
        <v>1541</v>
      </c>
    </row>
    <row r="33" spans="1:7">
      <c r="A33" s="128">
        <v>30</v>
      </c>
      <c r="B33" s="129" t="s">
        <v>1942</v>
      </c>
      <c r="C33" s="129">
        <v>2022</v>
      </c>
      <c r="D33" s="130" t="s">
        <v>224</v>
      </c>
      <c r="E33" s="129" t="s">
        <v>31</v>
      </c>
      <c r="F33" s="130" t="s">
        <v>225</v>
      </c>
      <c r="G33" s="150" t="s">
        <v>1974</v>
      </c>
    </row>
    <row r="34" spans="1:7" ht="21.75">
      <c r="A34" s="128">
        <v>31</v>
      </c>
      <c r="B34" s="129" t="s">
        <v>1942</v>
      </c>
      <c r="C34" s="129">
        <v>2022</v>
      </c>
      <c r="D34" s="130" t="s">
        <v>230</v>
      </c>
      <c r="E34" s="129" t="s">
        <v>55</v>
      </c>
      <c r="F34" s="130" t="s">
        <v>231</v>
      </c>
      <c r="G34" s="150" t="s">
        <v>1541</v>
      </c>
    </row>
    <row r="35" spans="1:7" ht="32.25">
      <c r="A35" s="128">
        <v>32</v>
      </c>
      <c r="B35" s="129" t="s">
        <v>1942</v>
      </c>
      <c r="C35" s="129">
        <v>2022</v>
      </c>
      <c r="D35" s="130" t="s">
        <v>237</v>
      </c>
      <c r="E35" s="129" t="s">
        <v>160</v>
      </c>
      <c r="F35" s="130" t="s">
        <v>238</v>
      </c>
      <c r="G35" s="150" t="s">
        <v>1541</v>
      </c>
    </row>
    <row r="36" spans="1:7" ht="21.75">
      <c r="A36" s="128">
        <v>33</v>
      </c>
      <c r="B36" s="129" t="s">
        <v>1942</v>
      </c>
      <c r="C36" s="129">
        <v>2022</v>
      </c>
      <c r="D36" s="130" t="s">
        <v>244</v>
      </c>
      <c r="E36" s="129" t="s">
        <v>247</v>
      </c>
      <c r="F36" s="130" t="s">
        <v>245</v>
      </c>
      <c r="G36" s="150" t="s">
        <v>1736</v>
      </c>
    </row>
    <row r="37" spans="1:7">
      <c r="A37" s="128">
        <v>34</v>
      </c>
      <c r="B37" s="129" t="s">
        <v>1942</v>
      </c>
      <c r="C37" s="129">
        <v>2022</v>
      </c>
      <c r="D37" s="130" t="s">
        <v>251</v>
      </c>
      <c r="E37" s="129" t="s">
        <v>147</v>
      </c>
      <c r="F37" s="130" t="s">
        <v>252</v>
      </c>
      <c r="G37" s="150" t="s">
        <v>1541</v>
      </c>
    </row>
    <row r="38" spans="1:7" ht="43.5">
      <c r="A38" s="128">
        <v>35</v>
      </c>
      <c r="B38" s="129" t="s">
        <v>1942</v>
      </c>
      <c r="C38" s="129">
        <v>2022</v>
      </c>
      <c r="D38" s="130" t="s">
        <v>257</v>
      </c>
      <c r="E38" s="129" t="s">
        <v>39</v>
      </c>
      <c r="F38" s="130" t="s">
        <v>258</v>
      </c>
      <c r="G38" s="150" t="s">
        <v>1975</v>
      </c>
    </row>
    <row r="39" spans="1:7" ht="21.75">
      <c r="A39" s="128">
        <v>36</v>
      </c>
      <c r="B39" s="129" t="s">
        <v>1942</v>
      </c>
      <c r="C39" s="129">
        <v>2022</v>
      </c>
      <c r="D39" s="130" t="s">
        <v>264</v>
      </c>
      <c r="E39" s="129" t="s">
        <v>266</v>
      </c>
      <c r="F39" s="130" t="s">
        <v>265</v>
      </c>
      <c r="G39" s="150" t="s">
        <v>1541</v>
      </c>
    </row>
    <row r="40" spans="1:7" ht="21.75">
      <c r="A40" s="128">
        <v>37</v>
      </c>
      <c r="B40" s="129" t="s">
        <v>1942</v>
      </c>
      <c r="C40" s="129">
        <v>2022</v>
      </c>
      <c r="D40" s="130" t="s">
        <v>270</v>
      </c>
      <c r="E40" s="129" t="s">
        <v>83</v>
      </c>
      <c r="F40" s="130" t="s">
        <v>271</v>
      </c>
      <c r="G40" s="150" t="s">
        <v>1976</v>
      </c>
    </row>
    <row r="41" spans="1:7" ht="21.75">
      <c r="A41" s="128">
        <v>38</v>
      </c>
      <c r="B41" s="129" t="s">
        <v>1942</v>
      </c>
      <c r="C41" s="129">
        <v>2022</v>
      </c>
      <c r="D41" s="130" t="s">
        <v>276</v>
      </c>
      <c r="E41" s="129" t="s">
        <v>278</v>
      </c>
      <c r="F41" s="130" t="s">
        <v>277</v>
      </c>
      <c r="G41" s="150" t="s">
        <v>1977</v>
      </c>
    </row>
    <row r="42" spans="1:7" ht="43.5">
      <c r="A42" s="128">
        <v>39</v>
      </c>
      <c r="B42" s="129" t="s">
        <v>1942</v>
      </c>
      <c r="C42" s="129">
        <v>2022</v>
      </c>
      <c r="D42" s="130" t="s">
        <v>282</v>
      </c>
      <c r="E42" s="129" t="s">
        <v>21</v>
      </c>
      <c r="F42" s="130" t="s">
        <v>283</v>
      </c>
      <c r="G42" s="150" t="s">
        <v>1978</v>
      </c>
    </row>
    <row r="43" spans="1:7" ht="43.5">
      <c r="A43" s="128">
        <v>40</v>
      </c>
      <c r="B43" s="129" t="s">
        <v>1942</v>
      </c>
      <c r="C43" s="129">
        <v>2022</v>
      </c>
      <c r="D43" s="130" t="s">
        <v>288</v>
      </c>
      <c r="E43" s="129" t="s">
        <v>290</v>
      </c>
      <c r="F43" s="130" t="s">
        <v>289</v>
      </c>
      <c r="G43" s="150" t="s">
        <v>1541</v>
      </c>
    </row>
    <row r="44" spans="1:7" ht="21.75">
      <c r="A44" s="128">
        <v>41</v>
      </c>
      <c r="B44" s="129" t="s">
        <v>1942</v>
      </c>
      <c r="C44" s="129">
        <v>2022</v>
      </c>
      <c r="D44" s="130" t="s">
        <v>294</v>
      </c>
      <c r="E44" s="129" t="s">
        <v>297</v>
      </c>
      <c r="F44" s="130" t="s">
        <v>295</v>
      </c>
      <c r="G44" s="150" t="s">
        <v>1979</v>
      </c>
    </row>
    <row r="45" spans="1:7" ht="21.75">
      <c r="A45" s="128">
        <v>42</v>
      </c>
      <c r="B45" s="129" t="s">
        <v>1942</v>
      </c>
      <c r="C45" s="129">
        <v>2022</v>
      </c>
      <c r="D45" s="130" t="s">
        <v>302</v>
      </c>
      <c r="E45" s="129" t="s">
        <v>304</v>
      </c>
      <c r="F45" s="130" t="s">
        <v>303</v>
      </c>
      <c r="G45" s="150" t="s">
        <v>1968</v>
      </c>
    </row>
    <row r="46" spans="1:7" ht="21.75">
      <c r="A46" s="128">
        <v>43</v>
      </c>
      <c r="B46" s="129" t="s">
        <v>1942</v>
      </c>
      <c r="C46" s="129">
        <v>2022</v>
      </c>
      <c r="D46" s="130" t="s">
        <v>308</v>
      </c>
      <c r="E46" s="129" t="s">
        <v>310</v>
      </c>
      <c r="F46" s="130" t="s">
        <v>309</v>
      </c>
      <c r="G46" s="150" t="s">
        <v>1541</v>
      </c>
    </row>
    <row r="47" spans="1:7" ht="32.25">
      <c r="A47" s="128">
        <v>44</v>
      </c>
      <c r="B47" s="129" t="s">
        <v>1942</v>
      </c>
      <c r="C47" s="129">
        <v>2022</v>
      </c>
      <c r="D47" s="130" t="s">
        <v>314</v>
      </c>
      <c r="E47" s="129" t="s">
        <v>160</v>
      </c>
      <c r="F47" s="130" t="s">
        <v>315</v>
      </c>
      <c r="G47" s="150" t="s">
        <v>1541</v>
      </c>
    </row>
    <row r="48" spans="1:7" ht="21.75">
      <c r="A48" s="128">
        <v>45</v>
      </c>
      <c r="B48" s="129" t="s">
        <v>1942</v>
      </c>
      <c r="C48" s="129">
        <v>2022</v>
      </c>
      <c r="D48" s="130" t="s">
        <v>320</v>
      </c>
      <c r="E48" s="129" t="s">
        <v>247</v>
      </c>
      <c r="F48" s="130" t="s">
        <v>321</v>
      </c>
      <c r="G48" s="150" t="s">
        <v>1541</v>
      </c>
    </row>
    <row r="49" spans="1:7" ht="21.75">
      <c r="A49" s="128">
        <v>46</v>
      </c>
      <c r="B49" s="129" t="s">
        <v>1942</v>
      </c>
      <c r="C49" s="129">
        <v>2022</v>
      </c>
      <c r="D49" s="130" t="s">
        <v>325</v>
      </c>
      <c r="E49" s="129" t="s">
        <v>39</v>
      </c>
      <c r="F49" s="130" t="s">
        <v>326</v>
      </c>
      <c r="G49" s="150" t="s">
        <v>1980</v>
      </c>
    </row>
    <row r="50" spans="1:7" ht="32.25">
      <c r="A50" s="128">
        <v>47</v>
      </c>
      <c r="B50" s="129" t="s">
        <v>1942</v>
      </c>
      <c r="C50" s="129">
        <v>2022</v>
      </c>
      <c r="D50" s="130" t="s">
        <v>332</v>
      </c>
      <c r="E50" s="129" t="s">
        <v>160</v>
      </c>
      <c r="F50" s="130" t="s">
        <v>333</v>
      </c>
      <c r="G50" s="150" t="s">
        <v>1981</v>
      </c>
    </row>
    <row r="51" spans="1:7" ht="53.25">
      <c r="A51" s="128">
        <v>48</v>
      </c>
      <c r="B51" s="129" t="s">
        <v>1942</v>
      </c>
      <c r="C51" s="129">
        <v>2022</v>
      </c>
      <c r="D51" s="130" t="s">
        <v>337</v>
      </c>
      <c r="E51" s="129" t="s">
        <v>1314</v>
      </c>
      <c r="F51" s="130" t="s">
        <v>338</v>
      </c>
      <c r="G51" s="150" t="s">
        <v>1541</v>
      </c>
    </row>
    <row r="52" spans="1:7" ht="32.25">
      <c r="A52" s="128">
        <v>49</v>
      </c>
      <c r="B52" s="129" t="s">
        <v>1942</v>
      </c>
      <c r="C52" s="129">
        <v>2022</v>
      </c>
      <c r="D52" s="130" t="s">
        <v>344</v>
      </c>
      <c r="E52" s="129" t="s">
        <v>545</v>
      </c>
      <c r="F52" s="130" t="s">
        <v>345</v>
      </c>
      <c r="G52" s="150" t="s">
        <v>1541</v>
      </c>
    </row>
    <row r="53" spans="1:7">
      <c r="A53" s="128">
        <v>50</v>
      </c>
      <c r="B53" s="129" t="s">
        <v>1942</v>
      </c>
      <c r="C53" s="129">
        <v>2022</v>
      </c>
      <c r="D53" s="130" t="s">
        <v>350</v>
      </c>
      <c r="E53" s="129" t="s">
        <v>21</v>
      </c>
      <c r="F53" s="130" t="s">
        <v>351</v>
      </c>
      <c r="G53" s="150" t="s">
        <v>1541</v>
      </c>
    </row>
    <row r="54" spans="1:7">
      <c r="A54" s="128">
        <v>51</v>
      </c>
      <c r="B54" s="129" t="s">
        <v>1942</v>
      </c>
      <c r="C54" s="129">
        <v>2022</v>
      </c>
      <c r="D54" s="130" t="s">
        <v>356</v>
      </c>
      <c r="E54" s="129" t="s">
        <v>174</v>
      </c>
      <c r="F54" s="130" t="s">
        <v>357</v>
      </c>
      <c r="G54" s="150" t="s">
        <v>1982</v>
      </c>
    </row>
    <row r="55" spans="1:7">
      <c r="A55" s="128">
        <v>52</v>
      </c>
      <c r="B55" s="129" t="s">
        <v>1942</v>
      </c>
      <c r="C55" s="129">
        <v>2022</v>
      </c>
      <c r="D55" s="130" t="s">
        <v>362</v>
      </c>
      <c r="E55" s="129" t="s">
        <v>83</v>
      </c>
      <c r="F55" s="130" t="s">
        <v>363</v>
      </c>
      <c r="G55" s="150" t="s">
        <v>1983</v>
      </c>
    </row>
    <row r="56" spans="1:7">
      <c r="A56" s="128">
        <v>53</v>
      </c>
      <c r="B56" s="129" t="s">
        <v>1942</v>
      </c>
      <c r="C56" s="129">
        <v>2022</v>
      </c>
      <c r="D56" s="130" t="s">
        <v>367</v>
      </c>
      <c r="E56" s="129" t="s">
        <v>21</v>
      </c>
      <c r="F56" s="130" t="s">
        <v>368</v>
      </c>
      <c r="G56" s="150" t="s">
        <v>1984</v>
      </c>
    </row>
    <row r="57" spans="1:7">
      <c r="A57" s="128">
        <v>54</v>
      </c>
      <c r="B57" s="129" t="s">
        <v>1942</v>
      </c>
      <c r="C57" s="129">
        <v>2022</v>
      </c>
      <c r="D57" s="130" t="s">
        <v>373</v>
      </c>
      <c r="E57" s="129" t="s">
        <v>39</v>
      </c>
      <c r="F57" s="130" t="s">
        <v>374</v>
      </c>
      <c r="G57" s="150" t="s">
        <v>1541</v>
      </c>
    </row>
    <row r="58" spans="1:7" ht="53.25">
      <c r="A58" s="128">
        <v>55</v>
      </c>
      <c r="B58" s="129" t="s">
        <v>1942</v>
      </c>
      <c r="C58" s="129">
        <v>2022</v>
      </c>
      <c r="D58" s="130" t="s">
        <v>1985</v>
      </c>
      <c r="E58" s="129" t="s">
        <v>382</v>
      </c>
      <c r="F58" s="130" t="s">
        <v>380</v>
      </c>
      <c r="G58" s="150" t="s">
        <v>1541</v>
      </c>
    </row>
    <row r="59" spans="1:7">
      <c r="A59" s="128">
        <v>56</v>
      </c>
      <c r="B59" s="129" t="s">
        <v>1942</v>
      </c>
      <c r="C59" s="129">
        <v>2022</v>
      </c>
      <c r="D59" s="130" t="s">
        <v>387</v>
      </c>
      <c r="E59" s="129" t="s">
        <v>389</v>
      </c>
      <c r="F59" s="130" t="s">
        <v>388</v>
      </c>
      <c r="G59" s="150" t="s">
        <v>1541</v>
      </c>
    </row>
    <row r="60" spans="1:7" ht="21.75">
      <c r="A60" s="128">
        <v>57</v>
      </c>
      <c r="B60" s="129" t="s">
        <v>1942</v>
      </c>
      <c r="C60" s="129">
        <v>2022</v>
      </c>
      <c r="D60" s="130" t="s">
        <v>394</v>
      </c>
      <c r="E60" s="129" t="s">
        <v>83</v>
      </c>
      <c r="F60" s="130" t="s">
        <v>395</v>
      </c>
      <c r="G60" s="150" t="s">
        <v>1541</v>
      </c>
    </row>
    <row r="61" spans="1:7">
      <c r="A61" s="128">
        <v>58</v>
      </c>
      <c r="B61" s="129" t="s">
        <v>1942</v>
      </c>
      <c r="C61" s="129">
        <v>2022</v>
      </c>
      <c r="D61" s="130" t="s">
        <v>401</v>
      </c>
      <c r="E61" s="129" t="s">
        <v>1986</v>
      </c>
      <c r="F61" s="130" t="s">
        <v>402</v>
      </c>
      <c r="G61" s="150" t="s">
        <v>1987</v>
      </c>
    </row>
    <row r="62" spans="1:7" ht="21.75">
      <c r="A62" s="128">
        <v>59</v>
      </c>
      <c r="B62" s="129" t="s">
        <v>1942</v>
      </c>
      <c r="C62" s="129">
        <v>2022</v>
      </c>
      <c r="D62" s="130" t="s">
        <v>1988</v>
      </c>
      <c r="E62" s="129" t="s">
        <v>111</v>
      </c>
      <c r="F62" s="130" t="s">
        <v>409</v>
      </c>
      <c r="G62" s="150" t="s">
        <v>1989</v>
      </c>
    </row>
    <row r="63" spans="1:7" ht="21.75">
      <c r="A63" s="128">
        <v>60</v>
      </c>
      <c r="B63" s="129" t="s">
        <v>1942</v>
      </c>
      <c r="C63" s="129">
        <v>2022</v>
      </c>
      <c r="D63" s="130" t="s">
        <v>414</v>
      </c>
      <c r="E63" s="129" t="s">
        <v>111</v>
      </c>
      <c r="F63" s="130" t="s">
        <v>415</v>
      </c>
      <c r="G63" s="150" t="s">
        <v>1541</v>
      </c>
    </row>
    <row r="64" spans="1:7">
      <c r="A64" s="128">
        <v>61</v>
      </c>
      <c r="B64" s="129" t="s">
        <v>1942</v>
      </c>
      <c r="C64" s="129">
        <v>2022</v>
      </c>
      <c r="D64" s="130" t="s">
        <v>419</v>
      </c>
      <c r="E64" s="129" t="s">
        <v>125</v>
      </c>
      <c r="F64" s="130" t="s">
        <v>420</v>
      </c>
      <c r="G64" s="150" t="s">
        <v>1990</v>
      </c>
    </row>
    <row r="65" spans="1:7">
      <c r="A65" s="128">
        <v>62</v>
      </c>
      <c r="B65" s="129" t="s">
        <v>1942</v>
      </c>
      <c r="C65" s="129">
        <v>2022</v>
      </c>
      <c r="D65" s="130" t="s">
        <v>424</v>
      </c>
      <c r="E65" s="129" t="s">
        <v>125</v>
      </c>
      <c r="F65" s="130" t="s">
        <v>425</v>
      </c>
      <c r="G65" s="150" t="s">
        <v>1991</v>
      </c>
    </row>
    <row r="66" spans="1:7">
      <c r="A66" s="128">
        <v>63</v>
      </c>
      <c r="B66" s="129" t="s">
        <v>1942</v>
      </c>
      <c r="C66" s="129">
        <v>2022</v>
      </c>
      <c r="D66" s="130" t="s">
        <v>430</v>
      </c>
      <c r="E66" s="129" t="s">
        <v>432</v>
      </c>
      <c r="F66" s="130" t="s">
        <v>431</v>
      </c>
      <c r="G66" s="150" t="s">
        <v>1541</v>
      </c>
    </row>
    <row r="67" spans="1:7">
      <c r="A67" s="131">
        <v>64</v>
      </c>
      <c r="B67" s="132" t="s">
        <v>1942</v>
      </c>
      <c r="C67" s="132">
        <v>2023</v>
      </c>
      <c r="D67" s="133" t="s">
        <v>438</v>
      </c>
      <c r="E67" s="132" t="s">
        <v>21</v>
      </c>
      <c r="F67" s="133" t="s">
        <v>439</v>
      </c>
      <c r="G67" s="151" t="s">
        <v>1992</v>
      </c>
    </row>
    <row r="68" spans="1:7" ht="21.75">
      <c r="A68" s="131">
        <v>65</v>
      </c>
      <c r="B68" s="132" t="s">
        <v>1942</v>
      </c>
      <c r="C68" s="132">
        <v>2023</v>
      </c>
      <c r="D68" s="133" t="s">
        <v>444</v>
      </c>
      <c r="E68" s="132" t="s">
        <v>168</v>
      </c>
      <c r="F68" s="134" t="s">
        <v>1993</v>
      </c>
      <c r="G68" s="152" t="s">
        <v>1994</v>
      </c>
    </row>
    <row r="69" spans="1:7">
      <c r="A69" s="131">
        <v>66</v>
      </c>
      <c r="B69" s="132" t="s">
        <v>1942</v>
      </c>
      <c r="C69" s="132">
        <v>2023</v>
      </c>
      <c r="D69" s="133" t="s">
        <v>450</v>
      </c>
      <c r="E69" s="132" t="s">
        <v>125</v>
      </c>
      <c r="F69" s="133" t="s">
        <v>451</v>
      </c>
      <c r="G69" s="151" t="s">
        <v>1995</v>
      </c>
    </row>
    <row r="70" spans="1:7" ht="21.75">
      <c r="A70" s="131">
        <v>67</v>
      </c>
      <c r="B70" s="132" t="s">
        <v>1942</v>
      </c>
      <c r="C70" s="132">
        <v>2023</v>
      </c>
      <c r="D70" s="133" t="s">
        <v>457</v>
      </c>
      <c r="E70" s="132" t="s">
        <v>174</v>
      </c>
      <c r="F70" s="134" t="s">
        <v>458</v>
      </c>
      <c r="G70" s="152" t="s">
        <v>1992</v>
      </c>
    </row>
    <row r="71" spans="1:7" ht="21.75">
      <c r="A71" s="131">
        <v>68</v>
      </c>
      <c r="B71" s="132" t="s">
        <v>1942</v>
      </c>
      <c r="C71" s="132">
        <v>2023</v>
      </c>
      <c r="D71" s="133" t="s">
        <v>463</v>
      </c>
      <c r="E71" s="132" t="s">
        <v>465</v>
      </c>
      <c r="F71" s="133" t="s">
        <v>464</v>
      </c>
      <c r="G71" s="151" t="s">
        <v>1996</v>
      </c>
    </row>
    <row r="72" spans="1:7">
      <c r="A72" s="131">
        <v>69</v>
      </c>
      <c r="B72" s="132" t="s">
        <v>1942</v>
      </c>
      <c r="C72" s="132">
        <v>2023</v>
      </c>
      <c r="D72" s="133" t="s">
        <v>1997</v>
      </c>
      <c r="E72" s="132" t="s">
        <v>39</v>
      </c>
      <c r="F72" s="134" t="s">
        <v>470</v>
      </c>
      <c r="G72" s="152" t="s">
        <v>1998</v>
      </c>
    </row>
    <row r="73" spans="1:7">
      <c r="A73" s="131">
        <v>70</v>
      </c>
      <c r="B73" s="132" t="s">
        <v>1942</v>
      </c>
      <c r="C73" s="132">
        <v>2023</v>
      </c>
      <c r="D73" s="133" t="s">
        <v>1999</v>
      </c>
      <c r="E73" s="132" t="s">
        <v>39</v>
      </c>
      <c r="F73" s="134" t="s">
        <v>477</v>
      </c>
      <c r="G73" s="152" t="s">
        <v>2000</v>
      </c>
    </row>
    <row r="74" spans="1:7" ht="32.25">
      <c r="A74" s="131">
        <v>71</v>
      </c>
      <c r="B74" s="132" t="s">
        <v>1942</v>
      </c>
      <c r="C74" s="132">
        <v>2023</v>
      </c>
      <c r="D74" s="133" t="s">
        <v>96</v>
      </c>
      <c r="E74" s="132" t="s">
        <v>21</v>
      </c>
      <c r="F74" s="133" t="s">
        <v>482</v>
      </c>
      <c r="G74" s="151" t="s">
        <v>1992</v>
      </c>
    </row>
    <row r="75" spans="1:7">
      <c r="A75" s="131">
        <v>72</v>
      </c>
      <c r="B75" s="132" t="s">
        <v>1942</v>
      </c>
      <c r="C75" s="132">
        <v>2023</v>
      </c>
      <c r="D75" s="133" t="s">
        <v>487</v>
      </c>
      <c r="E75" s="132" t="s">
        <v>21</v>
      </c>
      <c r="F75" s="134" t="s">
        <v>488</v>
      </c>
      <c r="G75" s="152" t="s">
        <v>2001</v>
      </c>
    </row>
    <row r="76" spans="1:7">
      <c r="A76" s="131">
        <v>73</v>
      </c>
      <c r="B76" s="132" t="s">
        <v>1942</v>
      </c>
      <c r="C76" s="132">
        <v>2023</v>
      </c>
      <c r="D76" s="133" t="s">
        <v>493</v>
      </c>
      <c r="E76" s="132" t="s">
        <v>21</v>
      </c>
      <c r="F76" s="134" t="s">
        <v>494</v>
      </c>
      <c r="G76" s="152" t="s">
        <v>1992</v>
      </c>
    </row>
    <row r="77" spans="1:7">
      <c r="A77" s="131">
        <v>74</v>
      </c>
      <c r="B77" s="132" t="s">
        <v>1942</v>
      </c>
      <c r="C77" s="132">
        <v>2023</v>
      </c>
      <c r="D77" s="133" t="s">
        <v>498</v>
      </c>
      <c r="E77" s="132" t="s">
        <v>21</v>
      </c>
      <c r="F77" s="134" t="s">
        <v>499</v>
      </c>
      <c r="G77" s="152" t="s">
        <v>2002</v>
      </c>
    </row>
    <row r="78" spans="1:7" ht="21.75">
      <c r="A78" s="131">
        <v>75</v>
      </c>
      <c r="B78" s="132" t="s">
        <v>1942</v>
      </c>
      <c r="C78" s="132">
        <v>2023</v>
      </c>
      <c r="D78" s="133" t="s">
        <v>503</v>
      </c>
      <c r="E78" s="132" t="s">
        <v>147</v>
      </c>
      <c r="F78" s="133" t="s">
        <v>504</v>
      </c>
      <c r="G78" s="151" t="s">
        <v>2003</v>
      </c>
    </row>
    <row r="79" spans="1:7" ht="75">
      <c r="A79" s="131">
        <v>76</v>
      </c>
      <c r="B79" s="132" t="s">
        <v>1942</v>
      </c>
      <c r="C79" s="132">
        <v>2023</v>
      </c>
      <c r="D79" s="133" t="s">
        <v>508</v>
      </c>
      <c r="E79" s="132" t="s">
        <v>83</v>
      </c>
      <c r="F79" s="133" t="s">
        <v>509</v>
      </c>
      <c r="G79" s="151" t="s">
        <v>2004</v>
      </c>
    </row>
    <row r="80" spans="1:7" ht="53.25">
      <c r="A80" s="131">
        <v>77</v>
      </c>
      <c r="B80" s="132" t="s">
        <v>1942</v>
      </c>
      <c r="C80" s="132">
        <v>2023</v>
      </c>
      <c r="D80" s="133" t="s">
        <v>513</v>
      </c>
      <c r="E80" s="132" t="s">
        <v>21</v>
      </c>
      <c r="F80" s="134" t="s">
        <v>2005</v>
      </c>
      <c r="G80" s="152" t="s">
        <v>2006</v>
      </c>
    </row>
    <row r="81" spans="1:7">
      <c r="A81" s="131">
        <v>78</v>
      </c>
      <c r="B81" s="132" t="s">
        <v>1942</v>
      </c>
      <c r="C81" s="132">
        <v>2023</v>
      </c>
      <c r="D81" s="133" t="s">
        <v>28</v>
      </c>
      <c r="E81" s="132" t="s">
        <v>31</v>
      </c>
      <c r="F81" s="133" t="s">
        <v>2007</v>
      </c>
      <c r="G81" s="151" t="s">
        <v>1992</v>
      </c>
    </row>
    <row r="82" spans="1:7">
      <c r="A82" s="131">
        <v>79</v>
      </c>
      <c r="B82" s="132" t="s">
        <v>1942</v>
      </c>
      <c r="C82" s="132">
        <v>2023</v>
      </c>
      <c r="D82" s="133" t="s">
        <v>523</v>
      </c>
      <c r="E82" s="132" t="s">
        <v>55</v>
      </c>
      <c r="F82" s="133" t="s">
        <v>524</v>
      </c>
      <c r="G82" s="151" t="s">
        <v>2008</v>
      </c>
    </row>
    <row r="83" spans="1:7" ht="21.75">
      <c r="A83" s="131">
        <v>80</v>
      </c>
      <c r="B83" s="132" t="s">
        <v>1942</v>
      </c>
      <c r="C83" s="132">
        <v>2023</v>
      </c>
      <c r="D83" s="133" t="s">
        <v>529</v>
      </c>
      <c r="E83" s="132" t="s">
        <v>304</v>
      </c>
      <c r="F83" s="134" t="s">
        <v>530</v>
      </c>
      <c r="G83" s="152" t="s">
        <v>1996</v>
      </c>
    </row>
    <row r="84" spans="1:7" ht="43.5">
      <c r="A84" s="131">
        <v>81</v>
      </c>
      <c r="B84" s="132" t="s">
        <v>1942</v>
      </c>
      <c r="C84" s="132">
        <v>2023</v>
      </c>
      <c r="D84" s="133" t="s">
        <v>536</v>
      </c>
      <c r="E84" s="132" t="s">
        <v>21</v>
      </c>
      <c r="F84" s="133" t="s">
        <v>537</v>
      </c>
      <c r="G84" s="151" t="s">
        <v>1992</v>
      </c>
    </row>
    <row r="85" spans="1:7" ht="32.25">
      <c r="A85" s="131">
        <v>82</v>
      </c>
      <c r="B85" s="132" t="s">
        <v>1942</v>
      </c>
      <c r="C85" s="132">
        <v>2023</v>
      </c>
      <c r="D85" s="133" t="s">
        <v>543</v>
      </c>
      <c r="E85" s="132" t="s">
        <v>545</v>
      </c>
      <c r="F85" s="133" t="s">
        <v>544</v>
      </c>
      <c r="G85" s="151" t="s">
        <v>2003</v>
      </c>
    </row>
    <row r="86" spans="1:7" ht="32.25">
      <c r="A86" s="131">
        <v>83</v>
      </c>
      <c r="B86" s="132" t="s">
        <v>1942</v>
      </c>
      <c r="C86" s="132">
        <v>2023</v>
      </c>
      <c r="D86" s="133" t="s">
        <v>550</v>
      </c>
      <c r="E86" s="132" t="s">
        <v>545</v>
      </c>
      <c r="F86" s="134" t="s">
        <v>2009</v>
      </c>
      <c r="G86" s="152" t="s">
        <v>1992</v>
      </c>
    </row>
    <row r="87" spans="1:7" ht="32.25">
      <c r="A87" s="131">
        <v>84</v>
      </c>
      <c r="B87" s="132" t="s">
        <v>1942</v>
      </c>
      <c r="C87" s="132">
        <v>2023</v>
      </c>
      <c r="D87" s="133" t="s">
        <v>2010</v>
      </c>
      <c r="E87" s="132" t="s">
        <v>1314</v>
      </c>
      <c r="F87" s="134" t="s">
        <v>556</v>
      </c>
      <c r="G87" s="152" t="s">
        <v>1992</v>
      </c>
    </row>
    <row r="88" spans="1:7" ht="21.75">
      <c r="A88" s="131">
        <v>85</v>
      </c>
      <c r="B88" s="132" t="s">
        <v>1942</v>
      </c>
      <c r="C88" s="132">
        <v>2023</v>
      </c>
      <c r="D88" s="133" t="s">
        <v>2011</v>
      </c>
      <c r="E88" s="132" t="s">
        <v>21</v>
      </c>
      <c r="F88" s="133" t="s">
        <v>2012</v>
      </c>
      <c r="G88" s="151" t="s">
        <v>1992</v>
      </c>
    </row>
    <row r="89" spans="1:7" ht="21.75">
      <c r="A89" s="131">
        <v>86</v>
      </c>
      <c r="B89" s="132" t="s">
        <v>1942</v>
      </c>
      <c r="C89" s="132">
        <v>2023</v>
      </c>
      <c r="D89" s="133" t="s">
        <v>2013</v>
      </c>
      <c r="E89" s="132" t="s">
        <v>168</v>
      </c>
      <c r="F89" s="133" t="s">
        <v>2014</v>
      </c>
      <c r="G89" s="151" t="s">
        <v>1992</v>
      </c>
    </row>
    <row r="90" spans="1:7" ht="21.75">
      <c r="A90" s="131">
        <v>87</v>
      </c>
      <c r="B90" s="132" t="s">
        <v>1942</v>
      </c>
      <c r="C90" s="132">
        <v>2023</v>
      </c>
      <c r="D90" s="133" t="s">
        <v>2015</v>
      </c>
      <c r="E90" s="132" t="s">
        <v>76</v>
      </c>
      <c r="F90" s="133" t="s">
        <v>2016</v>
      </c>
      <c r="G90" s="151" t="s">
        <v>2017</v>
      </c>
    </row>
    <row r="91" spans="1:7" ht="32.25">
      <c r="A91" s="131">
        <v>88</v>
      </c>
      <c r="B91" s="132" t="s">
        <v>1942</v>
      </c>
      <c r="C91" s="132">
        <v>2023</v>
      </c>
      <c r="D91" s="133" t="s">
        <v>577</v>
      </c>
      <c r="E91" s="132" t="s">
        <v>579</v>
      </c>
      <c r="F91" s="134" t="s">
        <v>578</v>
      </c>
      <c r="G91" s="152" t="s">
        <v>1992</v>
      </c>
    </row>
    <row r="92" spans="1:7" ht="21.75">
      <c r="A92" s="131">
        <v>89</v>
      </c>
      <c r="B92" s="132" t="s">
        <v>1942</v>
      </c>
      <c r="C92" s="132">
        <v>2023</v>
      </c>
      <c r="D92" s="133" t="s">
        <v>583</v>
      </c>
      <c r="E92" s="132" t="s">
        <v>247</v>
      </c>
      <c r="F92" s="133" t="s">
        <v>2018</v>
      </c>
      <c r="G92" s="151" t="s">
        <v>1992</v>
      </c>
    </row>
    <row r="93" spans="1:7">
      <c r="A93" s="131">
        <v>90</v>
      </c>
      <c r="B93" s="132" t="s">
        <v>1942</v>
      </c>
      <c r="C93" s="132">
        <v>2023</v>
      </c>
      <c r="D93" s="133" t="s">
        <v>588</v>
      </c>
      <c r="E93" s="132" t="s">
        <v>39</v>
      </c>
      <c r="F93" s="134" t="s">
        <v>589</v>
      </c>
      <c r="G93" s="152" t="s">
        <v>2019</v>
      </c>
    </row>
    <row r="94" spans="1:7">
      <c r="A94" s="131">
        <v>91</v>
      </c>
      <c r="B94" s="132" t="s">
        <v>1942</v>
      </c>
      <c r="C94" s="132">
        <v>2023</v>
      </c>
      <c r="D94" s="133" t="s">
        <v>2020</v>
      </c>
      <c r="E94" s="132" t="s">
        <v>21</v>
      </c>
      <c r="F94" s="134" t="s">
        <v>594</v>
      </c>
      <c r="G94" s="152" t="s">
        <v>2021</v>
      </c>
    </row>
    <row r="95" spans="1:7" ht="21.75">
      <c r="A95" s="131">
        <v>92</v>
      </c>
      <c r="B95" s="132" t="s">
        <v>1942</v>
      </c>
      <c r="C95" s="132">
        <v>2023</v>
      </c>
      <c r="D95" s="133" t="s">
        <v>598</v>
      </c>
      <c r="E95" s="132" t="s">
        <v>160</v>
      </c>
      <c r="F95" s="134" t="s">
        <v>599</v>
      </c>
      <c r="G95" s="152" t="s">
        <v>1992</v>
      </c>
    </row>
    <row r="96" spans="1:7">
      <c r="A96" s="131">
        <v>93</v>
      </c>
      <c r="B96" s="132" t="s">
        <v>1942</v>
      </c>
      <c r="C96" s="132">
        <v>2023</v>
      </c>
      <c r="D96" s="133" t="s">
        <v>603</v>
      </c>
      <c r="E96" s="132" t="s">
        <v>21</v>
      </c>
      <c r="F96" s="133" t="s">
        <v>604</v>
      </c>
      <c r="G96" s="151" t="s">
        <v>2022</v>
      </c>
    </row>
    <row r="97" spans="1:7">
      <c r="A97" s="131">
        <v>94</v>
      </c>
      <c r="B97" s="132" t="s">
        <v>1942</v>
      </c>
      <c r="C97" s="132">
        <v>2023</v>
      </c>
      <c r="D97" s="133" t="s">
        <v>609</v>
      </c>
      <c r="E97" s="132" t="s">
        <v>21</v>
      </c>
      <c r="F97" s="133" t="s">
        <v>610</v>
      </c>
      <c r="G97" s="151" t="s">
        <v>2023</v>
      </c>
    </row>
    <row r="98" spans="1:7" ht="21.75">
      <c r="A98" s="131">
        <v>95</v>
      </c>
      <c r="B98" s="132" t="s">
        <v>1942</v>
      </c>
      <c r="C98" s="132">
        <v>2023</v>
      </c>
      <c r="D98" s="133" t="s">
        <v>614</v>
      </c>
      <c r="E98" s="132" t="s">
        <v>617</v>
      </c>
      <c r="F98" s="133" t="s">
        <v>2024</v>
      </c>
      <c r="G98" s="151" t="s">
        <v>2025</v>
      </c>
    </row>
    <row r="99" spans="1:7" ht="21.75">
      <c r="A99" s="131">
        <v>96</v>
      </c>
      <c r="B99" s="132" t="s">
        <v>1942</v>
      </c>
      <c r="C99" s="132">
        <v>2023</v>
      </c>
      <c r="D99" s="133" t="s">
        <v>621</v>
      </c>
      <c r="E99" s="132" t="s">
        <v>21</v>
      </c>
      <c r="F99" s="133" t="s">
        <v>2026</v>
      </c>
      <c r="G99" s="151" t="s">
        <v>2027</v>
      </c>
    </row>
    <row r="100" spans="1:7" ht="43.5">
      <c r="A100" s="131">
        <v>97</v>
      </c>
      <c r="B100" s="132" t="s">
        <v>1942</v>
      </c>
      <c r="C100" s="132">
        <v>2023</v>
      </c>
      <c r="D100" s="133" t="s">
        <v>626</v>
      </c>
      <c r="E100" s="132" t="s">
        <v>160</v>
      </c>
      <c r="F100" s="133" t="s">
        <v>627</v>
      </c>
      <c r="G100" s="151" t="s">
        <v>1992</v>
      </c>
    </row>
    <row r="101" spans="1:7">
      <c r="A101" s="131">
        <v>98</v>
      </c>
      <c r="B101" s="132" t="s">
        <v>1942</v>
      </c>
      <c r="C101" s="132">
        <v>2023</v>
      </c>
      <c r="D101" s="133" t="s">
        <v>2028</v>
      </c>
      <c r="E101" s="132" t="s">
        <v>635</v>
      </c>
      <c r="F101" s="133" t="s">
        <v>633</v>
      </c>
      <c r="G101" s="151" t="s">
        <v>1992</v>
      </c>
    </row>
    <row r="102" spans="1:7">
      <c r="A102" s="131">
        <v>99</v>
      </c>
      <c r="B102" s="132" t="s">
        <v>1942</v>
      </c>
      <c r="C102" s="132">
        <v>2023</v>
      </c>
      <c r="D102" s="133" t="s">
        <v>639</v>
      </c>
      <c r="E102" s="132" t="s">
        <v>125</v>
      </c>
      <c r="F102" s="134" t="s">
        <v>2029</v>
      </c>
      <c r="G102" s="152" t="s">
        <v>2030</v>
      </c>
    </row>
    <row r="103" spans="1:7" ht="21.75">
      <c r="A103" s="131">
        <v>100</v>
      </c>
      <c r="B103" s="132" t="s">
        <v>1942</v>
      </c>
      <c r="C103" s="132">
        <v>2023</v>
      </c>
      <c r="D103" s="133" t="s">
        <v>645</v>
      </c>
      <c r="E103" s="132" t="s">
        <v>21</v>
      </c>
      <c r="F103" s="133" t="s">
        <v>2031</v>
      </c>
      <c r="G103" s="151" t="s">
        <v>2032</v>
      </c>
    </row>
    <row r="104" spans="1:7" ht="21.75">
      <c r="A104" s="131">
        <v>101</v>
      </c>
      <c r="B104" s="132" t="s">
        <v>1942</v>
      </c>
      <c r="C104" s="132">
        <v>2023</v>
      </c>
      <c r="D104" s="133" t="s">
        <v>651</v>
      </c>
      <c r="E104" s="132" t="s">
        <v>653</v>
      </c>
      <c r="F104" s="134" t="s">
        <v>2033</v>
      </c>
      <c r="G104" s="152" t="s">
        <v>1992</v>
      </c>
    </row>
    <row r="105" spans="1:7" ht="32.25">
      <c r="A105" s="131">
        <v>102</v>
      </c>
      <c r="B105" s="132" t="s">
        <v>1942</v>
      </c>
      <c r="C105" s="132">
        <v>2023</v>
      </c>
      <c r="D105" s="133" t="s">
        <v>657</v>
      </c>
      <c r="E105" s="132" t="s">
        <v>55</v>
      </c>
      <c r="F105" s="133" t="s">
        <v>2034</v>
      </c>
      <c r="G105" s="151" t="s">
        <v>2035</v>
      </c>
    </row>
    <row r="106" spans="1:7" ht="21.75">
      <c r="A106" s="131">
        <v>103</v>
      </c>
      <c r="B106" s="132" t="s">
        <v>1942</v>
      </c>
      <c r="C106" s="132">
        <v>2023</v>
      </c>
      <c r="D106" s="133" t="s">
        <v>663</v>
      </c>
      <c r="E106" s="132" t="s">
        <v>39</v>
      </c>
      <c r="F106" s="133" t="s">
        <v>2036</v>
      </c>
      <c r="G106" s="151" t="s">
        <v>2037</v>
      </c>
    </row>
    <row r="107" spans="1:7">
      <c r="A107" s="131">
        <v>104</v>
      </c>
      <c r="B107" s="132" t="s">
        <v>1942</v>
      </c>
      <c r="C107" s="132">
        <v>2023</v>
      </c>
      <c r="D107" s="133" t="s">
        <v>668</v>
      </c>
      <c r="E107" s="132" t="s">
        <v>21</v>
      </c>
      <c r="F107" s="134" t="s">
        <v>669</v>
      </c>
      <c r="G107" s="152" t="s">
        <v>2038</v>
      </c>
    </row>
    <row r="108" spans="1:7">
      <c r="A108" s="131">
        <v>105</v>
      </c>
      <c r="B108" s="132" t="s">
        <v>1942</v>
      </c>
      <c r="C108" s="132">
        <v>2023</v>
      </c>
      <c r="D108" s="133" t="s">
        <v>673</v>
      </c>
      <c r="E108" s="132" t="s">
        <v>653</v>
      </c>
      <c r="F108" s="133" t="s">
        <v>674</v>
      </c>
      <c r="G108" s="151" t="s">
        <v>1992</v>
      </c>
    </row>
    <row r="109" spans="1:7" ht="43.5">
      <c r="A109" s="135">
        <v>106</v>
      </c>
      <c r="B109" s="136" t="s">
        <v>1942</v>
      </c>
      <c r="C109" s="136" t="s">
        <v>1857</v>
      </c>
      <c r="D109" s="137" t="s">
        <v>680</v>
      </c>
      <c r="E109" s="136" t="s">
        <v>304</v>
      </c>
      <c r="F109" s="137" t="s">
        <v>681</v>
      </c>
      <c r="G109" s="153" t="s">
        <v>2039</v>
      </c>
    </row>
    <row r="110" spans="1:7" ht="21.75">
      <c r="A110" s="135">
        <v>107</v>
      </c>
      <c r="B110" s="136" t="s">
        <v>1942</v>
      </c>
      <c r="C110" s="136" t="s">
        <v>1857</v>
      </c>
      <c r="D110" s="137" t="s">
        <v>687</v>
      </c>
      <c r="E110" s="136" t="s">
        <v>382</v>
      </c>
      <c r="F110" s="137" t="s">
        <v>688</v>
      </c>
      <c r="G110" s="153" t="s">
        <v>2039</v>
      </c>
    </row>
    <row r="111" spans="1:7">
      <c r="A111" s="135">
        <v>108</v>
      </c>
      <c r="B111" s="136" t="s">
        <v>1942</v>
      </c>
      <c r="C111" s="136" t="s">
        <v>1857</v>
      </c>
      <c r="D111" s="137" t="s">
        <v>693</v>
      </c>
      <c r="E111" s="136" t="s">
        <v>266</v>
      </c>
      <c r="F111" s="137" t="s">
        <v>694</v>
      </c>
      <c r="G111" s="153" t="s">
        <v>2040</v>
      </c>
    </row>
    <row r="112" spans="1:7" ht="43.5">
      <c r="A112" s="135">
        <v>109</v>
      </c>
      <c r="B112" s="136" t="s">
        <v>1942</v>
      </c>
      <c r="C112" s="136" t="s">
        <v>1857</v>
      </c>
      <c r="D112" s="137" t="s">
        <v>700</v>
      </c>
      <c r="E112" s="136" t="s">
        <v>21</v>
      </c>
      <c r="F112" s="137" t="s">
        <v>701</v>
      </c>
      <c r="G112" s="153" t="s">
        <v>2039</v>
      </c>
    </row>
    <row r="113" spans="1:7" ht="32.25">
      <c r="A113" s="135">
        <v>110</v>
      </c>
      <c r="B113" s="136" t="s">
        <v>1942</v>
      </c>
      <c r="C113" s="136" t="s">
        <v>1857</v>
      </c>
      <c r="D113" s="137" t="s">
        <v>706</v>
      </c>
      <c r="E113" s="136" t="s">
        <v>708</v>
      </c>
      <c r="F113" s="137" t="s">
        <v>707</v>
      </c>
      <c r="G113" s="153" t="s">
        <v>2039</v>
      </c>
    </row>
    <row r="114" spans="1:7" ht="43.5">
      <c r="A114" s="135">
        <v>111</v>
      </c>
      <c r="B114" s="136" t="s">
        <v>1942</v>
      </c>
      <c r="C114" s="136" t="s">
        <v>1857</v>
      </c>
      <c r="D114" s="137" t="s">
        <v>712</v>
      </c>
      <c r="E114" s="136" t="s">
        <v>21</v>
      </c>
      <c r="F114" s="137" t="s">
        <v>713</v>
      </c>
      <c r="G114" s="153" t="s">
        <v>2039</v>
      </c>
    </row>
    <row r="115" spans="1:7">
      <c r="A115" s="135">
        <v>112</v>
      </c>
      <c r="B115" s="136" t="s">
        <v>1942</v>
      </c>
      <c r="C115" s="136" t="s">
        <v>1857</v>
      </c>
      <c r="D115" s="137" t="s">
        <v>717</v>
      </c>
      <c r="E115" s="136" t="s">
        <v>720</v>
      </c>
      <c r="F115" s="137" t="s">
        <v>718</v>
      </c>
      <c r="G115" s="153" t="s">
        <v>2039</v>
      </c>
    </row>
    <row r="116" spans="1:7" ht="21.75">
      <c r="A116" s="135">
        <v>113</v>
      </c>
      <c r="B116" s="136" t="s">
        <v>1942</v>
      </c>
      <c r="C116" s="136" t="s">
        <v>1857</v>
      </c>
      <c r="D116" s="137" t="s">
        <v>725</v>
      </c>
      <c r="E116" s="136" t="s">
        <v>39</v>
      </c>
      <c r="F116" s="137" t="s">
        <v>726</v>
      </c>
      <c r="G116" s="153" t="s">
        <v>2039</v>
      </c>
    </row>
    <row r="117" spans="1:7" ht="43.5">
      <c r="A117" s="135">
        <v>114</v>
      </c>
      <c r="B117" s="136" t="s">
        <v>1942</v>
      </c>
      <c r="C117" s="136" t="s">
        <v>1857</v>
      </c>
      <c r="D117" s="137" t="s">
        <v>731</v>
      </c>
      <c r="E117" s="136" t="s">
        <v>653</v>
      </c>
      <c r="F117" s="137" t="s">
        <v>732</v>
      </c>
      <c r="G117" s="153" t="s">
        <v>2041</v>
      </c>
    </row>
    <row r="118" spans="1:7" ht="21.75">
      <c r="A118" s="135">
        <v>115</v>
      </c>
      <c r="B118" s="136" t="s">
        <v>1942</v>
      </c>
      <c r="C118" s="136" t="s">
        <v>1857</v>
      </c>
      <c r="D118" s="137" t="s">
        <v>738</v>
      </c>
      <c r="E118" s="136" t="s">
        <v>69</v>
      </c>
      <c r="F118" s="137" t="s">
        <v>739</v>
      </c>
      <c r="G118" s="153" t="s">
        <v>2039</v>
      </c>
    </row>
    <row r="119" spans="1:7">
      <c r="A119" s="135">
        <v>116</v>
      </c>
      <c r="B119" s="136" t="s">
        <v>1942</v>
      </c>
      <c r="C119" s="136" t="s">
        <v>1857</v>
      </c>
      <c r="D119" s="137" t="s">
        <v>213</v>
      </c>
      <c r="E119" s="136" t="s">
        <v>215</v>
      </c>
      <c r="F119" s="137" t="s">
        <v>745</v>
      </c>
      <c r="G119" s="153" t="s">
        <v>2042</v>
      </c>
    </row>
    <row r="120" spans="1:7" ht="21.75">
      <c r="A120" s="135">
        <v>117</v>
      </c>
      <c r="B120" s="136" t="s">
        <v>1942</v>
      </c>
      <c r="C120" s="136" t="s">
        <v>1857</v>
      </c>
      <c r="D120" s="137" t="s">
        <v>749</v>
      </c>
      <c r="E120" s="136" t="s">
        <v>168</v>
      </c>
      <c r="F120" s="137" t="s">
        <v>750</v>
      </c>
      <c r="G120" s="153" t="s">
        <v>2039</v>
      </c>
    </row>
    <row r="121" spans="1:7">
      <c r="A121" s="135">
        <v>118</v>
      </c>
      <c r="B121" s="136" t="s">
        <v>1942</v>
      </c>
      <c r="C121" s="136" t="s">
        <v>1857</v>
      </c>
      <c r="D121" s="137" t="s">
        <v>754</v>
      </c>
      <c r="E121" s="136" t="s">
        <v>55</v>
      </c>
      <c r="F121" s="137" t="s">
        <v>755</v>
      </c>
      <c r="G121" s="153" t="s">
        <v>2039</v>
      </c>
    </row>
    <row r="122" spans="1:7">
      <c r="A122" s="135">
        <v>119</v>
      </c>
      <c r="B122" s="136" t="s">
        <v>1942</v>
      </c>
      <c r="C122" s="136" t="s">
        <v>1857</v>
      </c>
      <c r="D122" s="137" t="s">
        <v>344</v>
      </c>
      <c r="E122" s="136" t="s">
        <v>763</v>
      </c>
      <c r="F122" s="137" t="s">
        <v>761</v>
      </c>
      <c r="G122" s="153" t="s">
        <v>2039</v>
      </c>
    </row>
    <row r="123" spans="1:7">
      <c r="A123" s="135">
        <v>120</v>
      </c>
      <c r="B123" s="136" t="s">
        <v>1942</v>
      </c>
      <c r="C123" s="136" t="s">
        <v>1857</v>
      </c>
      <c r="D123" s="137" t="s">
        <v>767</v>
      </c>
      <c r="E123" s="136" t="s">
        <v>579</v>
      </c>
      <c r="F123" s="137" t="s">
        <v>768</v>
      </c>
      <c r="G123" s="153" t="s">
        <v>2039</v>
      </c>
    </row>
    <row r="124" spans="1:7" ht="21.75">
      <c r="A124" s="138">
        <v>121</v>
      </c>
      <c r="B124" s="139" t="s">
        <v>1942</v>
      </c>
      <c r="C124" s="139" t="s">
        <v>1861</v>
      </c>
      <c r="D124" s="140" t="s">
        <v>774</v>
      </c>
      <c r="E124" s="139" t="s">
        <v>777</v>
      </c>
      <c r="F124" s="140" t="s">
        <v>775</v>
      </c>
      <c r="G124" s="154" t="s">
        <v>2043</v>
      </c>
    </row>
    <row r="125" spans="1:7" ht="21.75">
      <c r="A125" s="138">
        <v>122</v>
      </c>
      <c r="B125" s="139" t="s">
        <v>1942</v>
      </c>
      <c r="C125" s="139" t="s">
        <v>1861</v>
      </c>
      <c r="D125" s="140" t="s">
        <v>783</v>
      </c>
      <c r="E125" s="139" t="s">
        <v>785</v>
      </c>
      <c r="F125" s="140" t="s">
        <v>784</v>
      </c>
      <c r="G125" s="154" t="s">
        <v>2044</v>
      </c>
    </row>
    <row r="126" spans="1:7" ht="32.25">
      <c r="A126" s="138">
        <v>123</v>
      </c>
      <c r="B126" s="139" t="s">
        <v>1942</v>
      </c>
      <c r="C126" s="139" t="s">
        <v>1861</v>
      </c>
      <c r="D126" s="140" t="s">
        <v>791</v>
      </c>
      <c r="E126" s="139" t="s">
        <v>83</v>
      </c>
      <c r="F126" s="140" t="s">
        <v>2045</v>
      </c>
      <c r="G126" s="154" t="s">
        <v>2039</v>
      </c>
    </row>
    <row r="127" spans="1:7">
      <c r="A127" s="138">
        <v>124</v>
      </c>
      <c r="B127" s="139" t="s">
        <v>1942</v>
      </c>
      <c r="C127" s="139" t="s">
        <v>1861</v>
      </c>
      <c r="D127" s="140" t="s">
        <v>2046</v>
      </c>
      <c r="E127" s="139" t="s">
        <v>297</v>
      </c>
      <c r="F127" s="140" t="s">
        <v>798</v>
      </c>
      <c r="G127" s="154" t="s">
        <v>2039</v>
      </c>
    </row>
    <row r="128" spans="1:7" ht="21.75">
      <c r="A128" s="138">
        <v>125</v>
      </c>
      <c r="B128" s="139" t="s">
        <v>1942</v>
      </c>
      <c r="C128" s="139" t="s">
        <v>1861</v>
      </c>
      <c r="D128" s="140" t="s">
        <v>803</v>
      </c>
      <c r="E128" s="139" t="s">
        <v>432</v>
      </c>
      <c r="F128" s="140" t="s">
        <v>804</v>
      </c>
      <c r="G128" s="154" t="s">
        <v>2047</v>
      </c>
    </row>
    <row r="129" spans="1:7" ht="21.75">
      <c r="A129" s="138">
        <v>126</v>
      </c>
      <c r="B129" s="139" t="s">
        <v>1942</v>
      </c>
      <c r="C129" s="139" t="s">
        <v>1861</v>
      </c>
      <c r="D129" s="140" t="s">
        <v>809</v>
      </c>
      <c r="E129" s="139" t="s">
        <v>1491</v>
      </c>
      <c r="F129" s="140" t="s">
        <v>2048</v>
      </c>
      <c r="G129" s="154" t="s">
        <v>2049</v>
      </c>
    </row>
    <row r="130" spans="1:7" ht="21.75">
      <c r="A130" s="138">
        <v>127</v>
      </c>
      <c r="B130" s="139" t="s">
        <v>1942</v>
      </c>
      <c r="C130" s="139" t="s">
        <v>1861</v>
      </c>
      <c r="D130" s="140" t="s">
        <v>818</v>
      </c>
      <c r="E130" s="139" t="s">
        <v>821</v>
      </c>
      <c r="F130" s="140" t="s">
        <v>819</v>
      </c>
      <c r="G130" s="154" t="s">
        <v>2050</v>
      </c>
    </row>
    <row r="131" spans="1:7" ht="32.25">
      <c r="A131" s="138">
        <v>128</v>
      </c>
      <c r="B131" s="139" t="s">
        <v>1942</v>
      </c>
      <c r="C131" s="139" t="s">
        <v>1861</v>
      </c>
      <c r="D131" s="140" t="s">
        <v>826</v>
      </c>
      <c r="E131" s="139" t="s">
        <v>160</v>
      </c>
      <c r="F131" s="140" t="s">
        <v>827</v>
      </c>
      <c r="G131" s="154" t="s">
        <v>2039</v>
      </c>
    </row>
    <row r="132" spans="1:7" ht="21.75">
      <c r="A132" s="138">
        <v>129</v>
      </c>
      <c r="B132" s="139" t="s">
        <v>1942</v>
      </c>
      <c r="C132" s="139" t="s">
        <v>1861</v>
      </c>
      <c r="D132" s="140" t="s">
        <v>832</v>
      </c>
      <c r="E132" s="139" t="s">
        <v>278</v>
      </c>
      <c r="F132" s="140" t="s">
        <v>2051</v>
      </c>
      <c r="G132" s="154" t="s">
        <v>2039</v>
      </c>
    </row>
    <row r="133" spans="1:7" ht="32.25">
      <c r="A133" s="138">
        <v>130</v>
      </c>
      <c r="B133" s="139" t="s">
        <v>1942</v>
      </c>
      <c r="C133" s="139" t="s">
        <v>1861</v>
      </c>
      <c r="D133" s="140" t="s">
        <v>839</v>
      </c>
      <c r="E133" s="139" t="s">
        <v>304</v>
      </c>
      <c r="F133" s="140" t="s">
        <v>840</v>
      </c>
      <c r="G133" s="154" t="s">
        <v>2052</v>
      </c>
    </row>
    <row r="134" spans="1:7" ht="32.25">
      <c r="A134" s="138">
        <v>131</v>
      </c>
      <c r="B134" s="139" t="s">
        <v>1942</v>
      </c>
      <c r="C134" s="139" t="s">
        <v>1861</v>
      </c>
      <c r="D134" s="140" t="s">
        <v>845</v>
      </c>
      <c r="E134" s="139" t="s">
        <v>21</v>
      </c>
      <c r="F134" s="140" t="s">
        <v>846</v>
      </c>
      <c r="G134" s="154" t="s">
        <v>2039</v>
      </c>
    </row>
    <row r="135" spans="1:7" ht="32.25">
      <c r="A135" s="138">
        <v>132</v>
      </c>
      <c r="B135" s="139" t="s">
        <v>1942</v>
      </c>
      <c r="C135" s="139" t="s">
        <v>1861</v>
      </c>
      <c r="D135" s="140" t="s">
        <v>851</v>
      </c>
      <c r="E135" s="139" t="s">
        <v>55</v>
      </c>
      <c r="F135" s="140" t="s">
        <v>852</v>
      </c>
      <c r="G135" s="154" t="s">
        <v>2053</v>
      </c>
    </row>
    <row r="136" spans="1:7" ht="32.25">
      <c r="A136" s="138">
        <v>133</v>
      </c>
      <c r="B136" s="139" t="s">
        <v>1942</v>
      </c>
      <c r="C136" s="139" t="s">
        <v>1861</v>
      </c>
      <c r="D136" s="140" t="s">
        <v>2054</v>
      </c>
      <c r="E136" s="139" t="s">
        <v>39</v>
      </c>
      <c r="F136" s="140" t="s">
        <v>2055</v>
      </c>
      <c r="G136" s="154" t="s">
        <v>2039</v>
      </c>
    </row>
    <row r="137" spans="1:7" ht="32.25">
      <c r="A137" s="138">
        <v>134</v>
      </c>
      <c r="B137" s="139" t="s">
        <v>1942</v>
      </c>
      <c r="C137" s="139" t="s">
        <v>1861</v>
      </c>
      <c r="D137" s="140" t="s">
        <v>863</v>
      </c>
      <c r="E137" s="139" t="s">
        <v>21</v>
      </c>
      <c r="F137" s="140" t="s">
        <v>2056</v>
      </c>
      <c r="G137" s="154" t="s">
        <v>2057</v>
      </c>
    </row>
    <row r="138" spans="1:7" ht="21.75">
      <c r="A138" s="138">
        <v>135</v>
      </c>
      <c r="B138" s="139" t="s">
        <v>1942</v>
      </c>
      <c r="C138" s="139" t="s">
        <v>1861</v>
      </c>
      <c r="D138" s="140" t="s">
        <v>869</v>
      </c>
      <c r="E138" s="139" t="s">
        <v>617</v>
      </c>
      <c r="F138" s="140" t="s">
        <v>2058</v>
      </c>
      <c r="G138" s="154" t="s">
        <v>2059</v>
      </c>
    </row>
    <row r="139" spans="1:7">
      <c r="A139" s="138">
        <v>136</v>
      </c>
      <c r="B139" s="139" t="s">
        <v>1942</v>
      </c>
      <c r="C139" s="139" t="s">
        <v>1861</v>
      </c>
      <c r="D139" s="140" t="s">
        <v>874</v>
      </c>
      <c r="E139" s="139" t="s">
        <v>117</v>
      </c>
      <c r="F139" s="140" t="s">
        <v>875</v>
      </c>
      <c r="G139" s="154" t="s">
        <v>2039</v>
      </c>
    </row>
    <row r="140" spans="1:7">
      <c r="A140" s="138">
        <v>137</v>
      </c>
      <c r="B140" s="139" t="s">
        <v>1942</v>
      </c>
      <c r="C140" s="139" t="s">
        <v>1861</v>
      </c>
      <c r="D140" s="140" t="s">
        <v>880</v>
      </c>
      <c r="E140" s="139" t="s">
        <v>147</v>
      </c>
      <c r="F140" s="140" t="s">
        <v>881</v>
      </c>
      <c r="G140" s="154" t="s">
        <v>2039</v>
      </c>
    </row>
    <row r="141" spans="1:7" ht="21.75">
      <c r="A141" s="138">
        <v>138</v>
      </c>
      <c r="B141" s="139" t="s">
        <v>1942</v>
      </c>
      <c r="C141" s="139" t="s">
        <v>1861</v>
      </c>
      <c r="D141" s="140" t="s">
        <v>885</v>
      </c>
      <c r="E141" s="139" t="s">
        <v>887</v>
      </c>
      <c r="F141" s="140" t="s">
        <v>886</v>
      </c>
      <c r="G141" s="154" t="s">
        <v>2060</v>
      </c>
    </row>
    <row r="142" spans="1:7" ht="21.75">
      <c r="A142" s="138">
        <v>139</v>
      </c>
      <c r="B142" s="139" t="s">
        <v>1942</v>
      </c>
      <c r="C142" s="139" t="s">
        <v>1861</v>
      </c>
      <c r="D142" s="140" t="s">
        <v>1985</v>
      </c>
      <c r="E142" s="139" t="s">
        <v>382</v>
      </c>
      <c r="F142" s="140" t="s">
        <v>890</v>
      </c>
      <c r="G142" s="154" t="s">
        <v>2039</v>
      </c>
    </row>
    <row r="143" spans="1:7" ht="43.5">
      <c r="A143" s="138">
        <v>140</v>
      </c>
      <c r="B143" s="139" t="s">
        <v>1942</v>
      </c>
      <c r="C143" s="139" t="s">
        <v>1861</v>
      </c>
      <c r="D143" s="140" t="s">
        <v>115</v>
      </c>
      <c r="E143" s="139" t="s">
        <v>117</v>
      </c>
      <c r="F143" s="140" t="s">
        <v>2061</v>
      </c>
      <c r="G143" s="154" t="s">
        <v>2062</v>
      </c>
    </row>
    <row r="144" spans="1:7">
      <c r="A144" s="141">
        <v>141</v>
      </c>
      <c r="B144" s="142" t="s">
        <v>1942</v>
      </c>
      <c r="C144" s="142">
        <v>2025</v>
      </c>
      <c r="D144" s="143" t="s">
        <v>902</v>
      </c>
      <c r="E144" s="142" t="s">
        <v>720</v>
      </c>
      <c r="F144" s="143" t="s">
        <v>903</v>
      </c>
      <c r="G144" s="155" t="s">
        <v>2063</v>
      </c>
    </row>
    <row r="145" spans="1:7" ht="32.25">
      <c r="A145" s="141">
        <v>142</v>
      </c>
      <c r="B145" s="142" t="s">
        <v>1942</v>
      </c>
      <c r="C145" s="142">
        <v>2025</v>
      </c>
      <c r="D145" s="143" t="s">
        <v>907</v>
      </c>
      <c r="E145" s="142" t="s">
        <v>266</v>
      </c>
      <c r="F145" s="143" t="s">
        <v>908</v>
      </c>
      <c r="G145" s="155" t="s">
        <v>2039</v>
      </c>
    </row>
    <row r="146" spans="1:7">
      <c r="A146" s="141">
        <v>143</v>
      </c>
      <c r="B146" s="142" t="s">
        <v>1942</v>
      </c>
      <c r="C146" s="142">
        <v>2025</v>
      </c>
      <c r="D146" s="143" t="s">
        <v>912</v>
      </c>
      <c r="E146" s="142" t="s">
        <v>266</v>
      </c>
      <c r="F146" s="143" t="s">
        <v>913</v>
      </c>
      <c r="G146" s="155" t="s">
        <v>2064</v>
      </c>
    </row>
    <row r="147" spans="1:7">
      <c r="A147" s="141">
        <v>144</v>
      </c>
      <c r="B147" s="142" t="s">
        <v>1942</v>
      </c>
      <c r="C147" s="142">
        <v>2025</v>
      </c>
      <c r="D147" s="143" t="s">
        <v>918</v>
      </c>
      <c r="E147" s="142" t="s">
        <v>21</v>
      </c>
      <c r="F147" s="143" t="s">
        <v>919</v>
      </c>
      <c r="G147" s="155" t="s">
        <v>2039</v>
      </c>
    </row>
    <row r="148" spans="1:7">
      <c r="A148" s="141">
        <v>145</v>
      </c>
      <c r="B148" s="142" t="s">
        <v>1942</v>
      </c>
      <c r="C148" s="142">
        <v>2025</v>
      </c>
      <c r="D148" s="143" t="s">
        <v>924</v>
      </c>
      <c r="E148" s="142" t="s">
        <v>55</v>
      </c>
      <c r="F148" s="143" t="s">
        <v>925</v>
      </c>
      <c r="G148" s="155" t="s">
        <v>2065</v>
      </c>
    </row>
    <row r="149" spans="1:7" ht="21.75">
      <c r="A149" s="141">
        <v>146</v>
      </c>
      <c r="B149" s="142" t="s">
        <v>1942</v>
      </c>
      <c r="C149" s="142">
        <v>2025</v>
      </c>
      <c r="D149" s="143" t="s">
        <v>2066</v>
      </c>
      <c r="E149" s="142" t="s">
        <v>933</v>
      </c>
      <c r="F149" s="143" t="s">
        <v>932</v>
      </c>
      <c r="G149" s="155" t="s">
        <v>2039</v>
      </c>
    </row>
    <row r="150" spans="1:7" ht="21.75">
      <c r="A150" s="141">
        <v>147</v>
      </c>
      <c r="B150" s="142" t="s">
        <v>1942</v>
      </c>
      <c r="C150" s="142">
        <v>2025</v>
      </c>
      <c r="D150" s="143" t="s">
        <v>937</v>
      </c>
      <c r="E150" s="142" t="s">
        <v>720</v>
      </c>
      <c r="F150" s="143" t="s">
        <v>938</v>
      </c>
      <c r="G150" s="155" t="s">
        <v>1954</v>
      </c>
    </row>
    <row r="151" spans="1:7" ht="32.25">
      <c r="A151" s="141">
        <v>148</v>
      </c>
      <c r="B151" s="142" t="s">
        <v>1942</v>
      </c>
      <c r="C151" s="142">
        <v>2025</v>
      </c>
      <c r="D151" s="143" t="s">
        <v>943</v>
      </c>
      <c r="E151" s="142" t="s">
        <v>21</v>
      </c>
      <c r="F151" s="143" t="s">
        <v>944</v>
      </c>
      <c r="G151" s="155" t="s">
        <v>1954</v>
      </c>
    </row>
    <row r="152" spans="1:7" ht="32.25">
      <c r="A152" s="141">
        <v>149</v>
      </c>
      <c r="B152" s="142" t="s">
        <v>1942</v>
      </c>
      <c r="C152" s="142">
        <v>2025</v>
      </c>
      <c r="D152" s="143" t="s">
        <v>950</v>
      </c>
      <c r="E152" s="142" t="s">
        <v>21</v>
      </c>
      <c r="F152" s="143" t="s">
        <v>951</v>
      </c>
      <c r="G152" s="155" t="s">
        <v>2039</v>
      </c>
    </row>
    <row r="153" spans="1:7" ht="43.5">
      <c r="A153" s="141">
        <v>150</v>
      </c>
      <c r="B153" s="142" t="s">
        <v>1942</v>
      </c>
      <c r="C153" s="142">
        <v>2025</v>
      </c>
      <c r="D153" s="143" t="s">
        <v>2067</v>
      </c>
      <c r="E153" s="142" t="s">
        <v>21</v>
      </c>
      <c r="F153" s="143" t="s">
        <v>957</v>
      </c>
      <c r="G153" s="155" t="s">
        <v>2039</v>
      </c>
    </row>
    <row r="154" spans="1:7">
      <c r="A154" s="141">
        <v>151</v>
      </c>
      <c r="B154" s="142" t="s">
        <v>1942</v>
      </c>
      <c r="C154" s="142">
        <v>2025</v>
      </c>
      <c r="D154" s="143" t="s">
        <v>2068</v>
      </c>
      <c r="E154" s="142" t="s">
        <v>545</v>
      </c>
      <c r="F154" s="143" t="s">
        <v>964</v>
      </c>
      <c r="G154" s="155" t="s">
        <v>2069</v>
      </c>
    </row>
    <row r="155" spans="1:7" ht="21.75">
      <c r="A155" s="141">
        <v>152</v>
      </c>
      <c r="B155" s="142" t="s">
        <v>1942</v>
      </c>
      <c r="C155" s="142">
        <v>2025</v>
      </c>
      <c r="D155" s="143" t="s">
        <v>969</v>
      </c>
      <c r="E155" s="142" t="s">
        <v>69</v>
      </c>
      <c r="F155" s="143" t="s">
        <v>970</v>
      </c>
      <c r="G155" s="155" t="s">
        <v>2039</v>
      </c>
    </row>
    <row r="156" spans="1:7" ht="32.25">
      <c r="A156" s="141">
        <v>153</v>
      </c>
      <c r="B156" s="142" t="s">
        <v>1942</v>
      </c>
      <c r="C156" s="142">
        <v>2025</v>
      </c>
      <c r="D156" s="143" t="s">
        <v>974</v>
      </c>
      <c r="E156" s="142" t="s">
        <v>304</v>
      </c>
      <c r="F156" s="143" t="s">
        <v>2070</v>
      </c>
      <c r="G156" s="155" t="s">
        <v>2050</v>
      </c>
    </row>
    <row r="157" spans="1:7" ht="32.25">
      <c r="A157" s="141">
        <v>154</v>
      </c>
      <c r="B157" s="142" t="s">
        <v>1942</v>
      </c>
      <c r="C157" s="142">
        <v>2025</v>
      </c>
      <c r="D157" s="143" t="s">
        <v>979</v>
      </c>
      <c r="E157" s="142" t="s">
        <v>981</v>
      </c>
      <c r="F157" s="143" t="s">
        <v>2071</v>
      </c>
      <c r="G157" s="155" t="s">
        <v>2072</v>
      </c>
    </row>
    <row r="158" spans="1:7">
      <c r="A158" s="141">
        <v>155</v>
      </c>
      <c r="B158" s="142" t="s">
        <v>1942</v>
      </c>
      <c r="C158" s="142">
        <v>2025</v>
      </c>
      <c r="D158" s="143" t="s">
        <v>986</v>
      </c>
      <c r="E158" s="142" t="s">
        <v>168</v>
      </c>
      <c r="F158" s="143" t="s">
        <v>987</v>
      </c>
      <c r="G158" s="155" t="s">
        <v>2073</v>
      </c>
    </row>
    <row r="159" spans="1:7" ht="21.75">
      <c r="A159" s="141">
        <v>156</v>
      </c>
      <c r="B159" s="142" t="s">
        <v>1942</v>
      </c>
      <c r="C159" s="142">
        <v>2025</v>
      </c>
      <c r="D159" s="143" t="s">
        <v>992</v>
      </c>
      <c r="E159" s="142" t="s">
        <v>763</v>
      </c>
      <c r="F159" s="143" t="s">
        <v>993</v>
      </c>
      <c r="G159" s="155" t="s">
        <v>2039</v>
      </c>
    </row>
    <row r="160" spans="1:7" ht="32.25">
      <c r="A160" s="141">
        <v>157</v>
      </c>
      <c r="B160" s="142" t="s">
        <v>1942</v>
      </c>
      <c r="C160" s="142">
        <v>2025</v>
      </c>
      <c r="D160" s="143" t="s">
        <v>96</v>
      </c>
      <c r="E160" s="142" t="s">
        <v>21</v>
      </c>
      <c r="F160" s="143" t="s">
        <v>998</v>
      </c>
      <c r="G160" s="155" t="s">
        <v>2039</v>
      </c>
    </row>
    <row r="161" spans="1:7" ht="32.25">
      <c r="A161" s="141">
        <v>158</v>
      </c>
      <c r="B161" s="142" t="s">
        <v>1942</v>
      </c>
      <c r="C161" s="142">
        <v>2025</v>
      </c>
      <c r="D161" s="143" t="s">
        <v>1002</v>
      </c>
      <c r="E161" s="142" t="s">
        <v>21</v>
      </c>
      <c r="F161" s="143" t="s">
        <v>1003</v>
      </c>
      <c r="G161" s="155" t="s">
        <v>2039</v>
      </c>
    </row>
    <row r="162" spans="1:7" ht="21.75">
      <c r="A162" s="141">
        <v>159</v>
      </c>
      <c r="B162" s="142" t="s">
        <v>1942</v>
      </c>
      <c r="C162" s="142">
        <v>2025</v>
      </c>
      <c r="D162" s="143" t="s">
        <v>213</v>
      </c>
      <c r="E162" s="142" t="s">
        <v>1009</v>
      </c>
      <c r="F162" s="143" t="s">
        <v>1008</v>
      </c>
      <c r="G162" s="155" t="s">
        <v>2042</v>
      </c>
    </row>
    <row r="163" spans="1:7" ht="32.25">
      <c r="A163" s="141">
        <v>160</v>
      </c>
      <c r="B163" s="142" t="s">
        <v>1942</v>
      </c>
      <c r="C163" s="142">
        <v>2025</v>
      </c>
      <c r="D163" s="143" t="s">
        <v>2074</v>
      </c>
      <c r="E163" s="142" t="s">
        <v>21</v>
      </c>
      <c r="F163" s="143" t="s">
        <v>1013</v>
      </c>
      <c r="G163" s="155" t="s">
        <v>2039</v>
      </c>
    </row>
    <row r="164" spans="1:7">
      <c r="A164" s="141">
        <v>161</v>
      </c>
      <c r="B164" s="142" t="s">
        <v>1942</v>
      </c>
      <c r="C164" s="142">
        <v>2025</v>
      </c>
      <c r="D164" s="143" t="s">
        <v>2075</v>
      </c>
      <c r="E164" s="142" t="s">
        <v>21</v>
      </c>
      <c r="F164" s="143" t="s">
        <v>1019</v>
      </c>
      <c r="G164" s="155" t="s">
        <v>2039</v>
      </c>
    </row>
    <row r="165" spans="1:7" ht="21.75">
      <c r="A165" s="141">
        <v>162</v>
      </c>
      <c r="B165" s="142" t="s">
        <v>1942</v>
      </c>
      <c r="C165" s="142">
        <v>2025</v>
      </c>
      <c r="D165" s="143" t="s">
        <v>1023</v>
      </c>
      <c r="E165" s="142" t="s">
        <v>2076</v>
      </c>
      <c r="F165" s="143" t="s">
        <v>1024</v>
      </c>
      <c r="G165" s="155" t="s">
        <v>2039</v>
      </c>
    </row>
    <row r="166" spans="1:7" ht="21.75">
      <c r="A166" s="141">
        <v>163</v>
      </c>
      <c r="B166" s="142" t="s">
        <v>1942</v>
      </c>
      <c r="C166" s="142">
        <v>2025</v>
      </c>
      <c r="D166" s="143" t="s">
        <v>1029</v>
      </c>
      <c r="E166" s="142" t="s">
        <v>39</v>
      </c>
      <c r="F166" s="143" t="s">
        <v>1030</v>
      </c>
      <c r="G166" s="155" t="s">
        <v>2039</v>
      </c>
    </row>
    <row r="167" spans="1:7" ht="21.75">
      <c r="A167" s="141">
        <v>164</v>
      </c>
      <c r="B167" s="142" t="s">
        <v>1942</v>
      </c>
      <c r="C167" s="142">
        <v>2025</v>
      </c>
      <c r="D167" s="143" t="s">
        <v>2077</v>
      </c>
      <c r="E167" s="142" t="s">
        <v>111</v>
      </c>
      <c r="F167" s="143" t="s">
        <v>1035</v>
      </c>
      <c r="G167" s="155" t="s">
        <v>2078</v>
      </c>
    </row>
    <row r="168" spans="1:7" ht="32.25">
      <c r="A168" s="141">
        <v>165</v>
      </c>
      <c r="B168" s="142" t="s">
        <v>1942</v>
      </c>
      <c r="C168" s="142">
        <v>2025</v>
      </c>
      <c r="D168" s="143" t="s">
        <v>1038</v>
      </c>
      <c r="E168" s="142" t="s">
        <v>1314</v>
      </c>
      <c r="F168" s="143" t="s">
        <v>1039</v>
      </c>
      <c r="G168" s="155" t="s">
        <v>2039</v>
      </c>
    </row>
    <row r="169" spans="1:7" ht="21.75">
      <c r="A169" s="141">
        <v>166</v>
      </c>
      <c r="B169" s="142" t="s">
        <v>1942</v>
      </c>
      <c r="C169" s="142">
        <v>2025</v>
      </c>
      <c r="D169" s="143" t="s">
        <v>2079</v>
      </c>
      <c r="E169" s="142" t="s">
        <v>21</v>
      </c>
      <c r="F169" s="143" t="s">
        <v>1044</v>
      </c>
      <c r="G169" s="155" t="s">
        <v>2039</v>
      </c>
    </row>
    <row r="170" spans="1:7" ht="32.25">
      <c r="A170" s="141">
        <v>167</v>
      </c>
      <c r="B170" s="142" t="s">
        <v>1942</v>
      </c>
      <c r="C170" s="142">
        <v>2025</v>
      </c>
      <c r="D170" s="143" t="s">
        <v>1048</v>
      </c>
      <c r="E170" s="142" t="s">
        <v>21</v>
      </c>
      <c r="F170" s="143" t="s">
        <v>1049</v>
      </c>
      <c r="G170" s="155" t="s">
        <v>2039</v>
      </c>
    </row>
    <row r="171" spans="1:7" ht="21.75">
      <c r="A171" s="141">
        <v>168</v>
      </c>
      <c r="B171" s="142" t="s">
        <v>1942</v>
      </c>
      <c r="C171" s="142">
        <v>2025</v>
      </c>
      <c r="D171" s="143" t="s">
        <v>1054</v>
      </c>
      <c r="E171" s="142" t="s">
        <v>55</v>
      </c>
      <c r="F171" s="143" t="s">
        <v>1055</v>
      </c>
      <c r="G171" s="155" t="s">
        <v>2039</v>
      </c>
    </row>
    <row r="172" spans="1:7">
      <c r="A172" s="141">
        <v>169</v>
      </c>
      <c r="B172" s="142" t="s">
        <v>1942</v>
      </c>
      <c r="C172" s="142">
        <v>2025</v>
      </c>
      <c r="D172" s="143" t="s">
        <v>1059</v>
      </c>
      <c r="E172" s="142" t="s">
        <v>69</v>
      </c>
      <c r="F172" s="143" t="s">
        <v>1060</v>
      </c>
      <c r="G172" s="155" t="s">
        <v>2080</v>
      </c>
    </row>
    <row r="173" spans="1:7" ht="21.75">
      <c r="A173" s="141">
        <v>170</v>
      </c>
      <c r="B173" s="142" t="s">
        <v>1942</v>
      </c>
      <c r="C173" s="142">
        <v>2025</v>
      </c>
      <c r="D173" s="143" t="s">
        <v>1065</v>
      </c>
      <c r="E173" s="142" t="s">
        <v>1068</v>
      </c>
      <c r="F173" s="143" t="s">
        <v>1066</v>
      </c>
      <c r="G173" s="155" t="s">
        <v>2039</v>
      </c>
    </row>
    <row r="174" spans="1:7" ht="21.75">
      <c r="A174" s="141">
        <v>171</v>
      </c>
      <c r="B174" s="142" t="s">
        <v>1942</v>
      </c>
      <c r="C174" s="142">
        <v>2025</v>
      </c>
      <c r="D174" s="143" t="s">
        <v>1072</v>
      </c>
      <c r="E174" s="142" t="s">
        <v>1074</v>
      </c>
      <c r="F174" s="143" t="s">
        <v>1073</v>
      </c>
      <c r="G174" s="155" t="s">
        <v>2081</v>
      </c>
    </row>
    <row r="175" spans="1:7" ht="32.25">
      <c r="A175" s="141">
        <v>172</v>
      </c>
      <c r="B175" s="142" t="s">
        <v>1942</v>
      </c>
      <c r="C175" s="142">
        <v>2025</v>
      </c>
      <c r="D175" s="143" t="s">
        <v>1078</v>
      </c>
      <c r="E175" s="142" t="s">
        <v>1080</v>
      </c>
      <c r="F175" s="143" t="s">
        <v>1079</v>
      </c>
      <c r="G175" s="155" t="s">
        <v>2039</v>
      </c>
    </row>
    <row r="176" spans="1:7">
      <c r="A176" s="141">
        <v>173</v>
      </c>
      <c r="B176" s="142" t="s">
        <v>1942</v>
      </c>
      <c r="C176" s="142">
        <v>2025</v>
      </c>
      <c r="D176" s="143" t="s">
        <v>1084</v>
      </c>
      <c r="E176" s="142" t="s">
        <v>1068</v>
      </c>
      <c r="F176" s="143" t="s">
        <v>1085</v>
      </c>
      <c r="G176" s="155" t="s">
        <v>2039</v>
      </c>
    </row>
    <row r="177" spans="1:7">
      <c r="A177" s="141">
        <v>174</v>
      </c>
      <c r="B177" s="142" t="s">
        <v>1942</v>
      </c>
      <c r="C177" s="142">
        <v>2025</v>
      </c>
      <c r="D177" s="143" t="s">
        <v>1089</v>
      </c>
      <c r="E177" s="142" t="s">
        <v>1092</v>
      </c>
      <c r="F177" s="143" t="s">
        <v>1090</v>
      </c>
      <c r="G177" s="155" t="s">
        <v>2039</v>
      </c>
    </row>
    <row r="178" spans="1:7" ht="21.75">
      <c r="A178" s="144">
        <v>175</v>
      </c>
      <c r="B178" s="145" t="s">
        <v>1942</v>
      </c>
      <c r="C178" s="145">
        <v>2025</v>
      </c>
      <c r="D178" s="146" t="s">
        <v>1098</v>
      </c>
      <c r="E178" s="145" t="s">
        <v>21</v>
      </c>
      <c r="F178" s="146" t="s">
        <v>1099</v>
      </c>
      <c r="G178" s="156" t="s">
        <v>2039</v>
      </c>
    </row>
  </sheetData>
  <mergeCells count="1">
    <mergeCell ref="A1:G1"/>
  </mergeCells>
  <pageMargins left="0.7" right="0.7" top="0.75" bottom="0.75" header="0.3" footer="0.3"/>
  <pageSetup fitToHeight="0"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Monserrat</dc:creator>
  <cp:keywords/>
  <dc:description/>
  <cp:lastModifiedBy/>
  <cp:revision/>
  <dcterms:created xsi:type="dcterms:W3CDTF">2024-09-02T18:18:13Z</dcterms:created>
  <dcterms:modified xsi:type="dcterms:W3CDTF">2025-09-29T21:32:31Z</dcterms:modified>
  <cp:category/>
  <cp:contentStatus/>
</cp:coreProperties>
</file>